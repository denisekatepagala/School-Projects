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 &amp; Burndown" sheetId="1" r:id="rId4"/>
  </sheets>
  <externalReferences>
    <externalReference r:id="rId5"/>
    <externalReference r:id="rId6"/>
  </externalReferences>
  <definedNames>
    <definedName name="Interval">'[1]Office Work Schedule'!#REF!</definedName>
    <definedName name="ScheduleStart">'[1]Office Work Schedule'!#REF!</definedName>
    <definedName name="Type">'[2]Maintenance Work Order'!#REF!</definedName>
  </definedNames>
  <calcPr/>
  <extLst>
    <ext uri="GoogleSheetsCustomDataVersion2">
      <go:sheetsCustomData xmlns:go="http://customooxmlschemas.google.com/" r:id="rId7" roundtripDataChecksum="/t72B7gboGWWqE34eXTMABSr2cIbzTPw6vcLe4ci7vQ="/>
    </ext>
  </extLst>
</workbook>
</file>

<file path=xl/sharedStrings.xml><?xml version="1.0" encoding="utf-8"?>
<sst xmlns="http://schemas.openxmlformats.org/spreadsheetml/2006/main" count="201" uniqueCount="116">
  <si>
    <t>Development of a Raspberry Pi-Powered OCR Text Detection and English-Tagalog Translation System</t>
  </si>
  <si>
    <t>GANTT CHART AND BURNDOWN</t>
  </si>
  <si>
    <t>SPRINTS</t>
  </si>
  <si>
    <t>SPRINT 1</t>
  </si>
  <si>
    <t>SPRINT 2</t>
  </si>
  <si>
    <t>SPRINT 3</t>
  </si>
  <si>
    <t>SPRINT 4</t>
  </si>
  <si>
    <t>SPRINT 5</t>
  </si>
  <si>
    <t>WORK BREAKDOWN STRUCTURE</t>
  </si>
  <si>
    <t>TASK TITLE</t>
  </si>
  <si>
    <t>TASK OWNER</t>
  </si>
  <si>
    <t>AMOUNT OF WORK IN HOURS</t>
  </si>
  <si>
    <t>SPRINT</t>
  </si>
  <si>
    <t>START DATE</t>
  </si>
  <si>
    <t>DUE DATE</t>
  </si>
  <si>
    <t>DURATION</t>
  </si>
  <si>
    <t>PCT OF TASK COMPLETE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</si>
  <si>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</si>
  <si>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</si>
  <si>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</si>
  <si>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</si>
  <si>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</si>
  <si>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</si>
  <si>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</si>
  <si>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</si>
  <si>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</si>
  <si>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</si>
  <si>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</si>
  <si>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</si>
  <si>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ESTIMATE</t>
  </si>
  <si>
    <t>COMPLETED</t>
  </si>
  <si>
    <t>REMAINING</t>
  </si>
  <si>
    <t>M</t>
  </si>
  <si>
    <t>T</t>
  </si>
  <si>
    <t>W</t>
  </si>
  <si>
    <t>R</t>
  </si>
  <si>
    <t>F</t>
  </si>
  <si>
    <t>PROJECT INITIATION</t>
  </si>
  <si>
    <t>Finalize Project Scope and Objectives</t>
  </si>
  <si>
    <t>Denise Pagala</t>
  </si>
  <si>
    <t>1.2</t>
  </si>
  <si>
    <t>Finalize Project Scope and System Requirements</t>
  </si>
  <si>
    <t>Cristel Estilo</t>
  </si>
  <si>
    <t>1.3</t>
  </si>
  <si>
    <t>Finalize Project Documentation</t>
  </si>
  <si>
    <t>Create Required Diagrams (Case Diagrams, Hardware, Software)</t>
  </si>
  <si>
    <t>Justin Ngo</t>
  </si>
  <si>
    <t>SYSTEM SETUP AND INITIAL DEVELOPMENT</t>
  </si>
  <si>
    <t>2.1</t>
  </si>
  <si>
    <t>Set Up Python Development Environment</t>
  </si>
  <si>
    <t>2.2</t>
  </si>
  <si>
    <t>Develop Initial English-to-Tagalog Translation Module</t>
  </si>
  <si>
    <t>2.3</t>
  </si>
  <si>
    <t>Test and Evaluate Translation Model</t>
  </si>
  <si>
    <t>2.4</t>
  </si>
  <si>
    <t>Set Up and Prepare OCR Dataset</t>
  </si>
  <si>
    <t>2.5</t>
  </si>
  <si>
    <t>Develop and Test OCR Module using Tesseract</t>
  </si>
  <si>
    <t>2.6</t>
  </si>
  <si>
    <t>Perform OCR Preprocessing and Accuracy Testing</t>
  </si>
  <si>
    <t>SYSTEM DEVELOPMENT AND INTEGRATION</t>
  </si>
  <si>
    <t>3.1</t>
  </si>
  <si>
    <t>Integrate OCR and English-to-Tagalog Translation</t>
  </si>
  <si>
    <t>3.2</t>
  </si>
  <si>
    <t>Set Up FastAPI Client–Server Communication</t>
  </si>
  <si>
    <t>3.3</t>
  </si>
  <si>
    <t>Develop Graphical User Interface using Flet</t>
  </si>
  <si>
    <t>3.4</t>
  </si>
  <si>
    <t>Integrate OCR, Backend, Translation, and GUI</t>
  </si>
  <si>
    <t>3.5</t>
  </si>
  <si>
    <t>Develop Image Capture Module using USB Webcam</t>
  </si>
  <si>
    <t>3.6</t>
  </si>
  <si>
    <t>Integrate System with Raspberry Pi 4B</t>
  </si>
  <si>
    <t>SYSTEM TESTING AND IMPROVEMENT</t>
  </si>
  <si>
    <t>Perform End-to-End System Testing</t>
  </si>
  <si>
    <t>Evaluate OCR and Translation Accuracy</t>
  </si>
  <si>
    <t>Evaluate System Response Time and Performance</t>
  </si>
  <si>
    <t>4.4</t>
  </si>
  <si>
    <t>Resolve Accuracy, Latency, and Integration Issues</t>
  </si>
  <si>
    <t>4.5</t>
  </si>
  <si>
    <t>Perform Final System Validation</t>
  </si>
  <si>
    <t>5</t>
  </si>
  <si>
    <t>PROJECT DOCUMENTATION AND SOURCE CODE</t>
  </si>
  <si>
    <t>5.1</t>
  </si>
  <si>
    <t>Complete and Revise Project Documentation</t>
  </si>
  <si>
    <t>Everyone</t>
  </si>
  <si>
    <t>5.2</t>
  </si>
  <si>
    <t>Organize and Clean Source Code</t>
  </si>
  <si>
    <t>5.3</t>
  </si>
  <si>
    <t>Finalize Dataset and Required Project Files</t>
  </si>
  <si>
    <t>5.4</t>
  </si>
  <si>
    <t>Create and Update GitHub Repository and README.md</t>
  </si>
  <si>
    <t>6</t>
  </si>
  <si>
    <t>PROJECT PRESENTATION</t>
  </si>
  <si>
    <t>6.1</t>
  </si>
  <si>
    <t>Prepare Presentation Content and Demonstration</t>
  </si>
  <si>
    <t>6.2</t>
  </si>
  <si>
    <t>Record Live System Demonstration</t>
  </si>
  <si>
    <t>6.3</t>
  </si>
  <si>
    <t>Record and Edit 10–15 Minute Presentation Video</t>
  </si>
  <si>
    <t>6.4</t>
  </si>
  <si>
    <t>Finalize Presentation and Project Submission</t>
  </si>
  <si>
    <t>DAYS</t>
  </si>
  <si>
    <t>EST/ DAYS</t>
  </si>
  <si>
    <t>BURNDOWN DATA</t>
  </si>
  <si>
    <t>TOTAL HOURS</t>
  </si>
  <si>
    <t>DAY</t>
  </si>
  <si>
    <t>TOTAL</t>
  </si>
  <si>
    <t xml:space="preserve">     ^  Enter number of days</t>
  </si>
  <si>
    <t>PLAN</t>
  </si>
  <si>
    <t>HOURS</t>
  </si>
  <si>
    <t>Enter hours completed per day ----&gt;</t>
  </si>
  <si>
    <t>HRS COMPLETED</t>
  </si>
  <si>
    <t>HRS REMAINING</t>
  </si>
  <si>
    <t>BURNDOWN CHART</t>
  </si>
  <si>
    <t>CLICK HERE TO CREATE IN SMARTSHEET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</si>
</sst>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0.00000"/>
  </numFmts>
  <fonts count="22">
    <font>
      <sz val="12.0"/>
      <color theme="1"/>
      <name val="Corbel"/>
      <scheme val="minor"/>
    </font>
    <font>
      <sz val="12.0"/>
      <color theme="1"/>
      <name val="Arial"/>
    </font>
    <font>
      <b/>
      <sz val="22.0"/>
      <color rgb="FF7F7F7F"/>
      <name val="Century Gothic"/>
    </font>
    <font>
      <b/>
      <sz val="10.0"/>
      <color rgb="FF7F7F7F"/>
      <name val="Century Gothic"/>
    </font>
    <font>
      <sz val="10.0"/>
      <color theme="1"/>
      <name val="Century Gothic"/>
    </font>
    <font>
      <sz val="12.0"/>
      <color theme="1"/>
      <name val="Corbel"/>
    </font>
    <font>
      <b/>
      <sz val="18.0"/>
      <color rgb="FF7F7F7F"/>
      <name val="Century Gothic"/>
    </font>
    <font>
      <b/>
      <sz val="10.0"/>
      <color rgb="FF2F5496"/>
      <name val="Century Gothic"/>
    </font>
    <font>
      <b/>
      <sz val="16.0"/>
      <color rgb="FF7F7F7F"/>
      <name val="Century Gothic"/>
    </font>
    <font>
      <sz val="12.0"/>
      <color theme="1"/>
      <name val="Century Gothic"/>
    </font>
    <font>
      <b/>
      <sz val="9.0"/>
      <color theme="1"/>
      <name val="Century Gothic"/>
    </font>
    <font/>
    <font>
      <b/>
      <sz val="8.0"/>
      <color theme="1"/>
      <name val="Century Gothic"/>
    </font>
    <font>
      <b/>
      <sz val="10.0"/>
      <color theme="0"/>
      <name val="Century Gothic"/>
    </font>
    <font>
      <b/>
      <sz val="10.0"/>
      <color theme="1"/>
      <name val="Century Gothic"/>
    </font>
    <font>
      <b/>
      <sz val="8.0"/>
      <color rgb="FF7F7F7F"/>
      <name val="Century Gothic"/>
    </font>
    <font>
      <b/>
      <sz val="11.0"/>
      <color rgb="FF7F7F7F"/>
      <name val="Century Gothic"/>
    </font>
    <font>
      <b/>
      <sz val="12.0"/>
      <color theme="1"/>
      <name val="Century Gothic"/>
    </font>
    <font>
      <sz val="11.0"/>
      <color rgb="FF2E75B5"/>
      <name val="Century Gothic"/>
    </font>
    <font>
      <sz val="7.0"/>
      <color rgb="FF2E75B5"/>
      <name val="Century Gothic"/>
    </font>
    <font>
      <sz val="9.0"/>
      <color theme="1"/>
      <name val="Century Gothic"/>
    </font>
    <font>
      <b/>
      <sz val="22.0"/>
      <color theme="0"/>
      <name val="Century Gothic"/>
    </font>
  </fonts>
  <fills count="2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9CC2E5"/>
        <bgColor rgb="FF9CC2E5"/>
      </patternFill>
    </fill>
    <fill>
      <patternFill patternType="solid">
        <fgColor theme="8"/>
        <bgColor theme="8"/>
      </patternFill>
    </fill>
    <fill>
      <patternFill patternType="solid">
        <fgColor rgb="FF2E75B5"/>
        <bgColor rgb="FF2E75B5"/>
      </patternFill>
    </fill>
    <fill>
      <patternFill patternType="solid">
        <fgColor rgb="FF2F5496"/>
        <bgColor rgb="FF2F5496"/>
      </patternFill>
    </fill>
    <fill>
      <patternFill patternType="solid">
        <fgColor rgb="FFC55A11"/>
        <bgColor rgb="FFC55A11"/>
      </patternFill>
    </fill>
    <fill>
      <patternFill patternType="solid">
        <fgColor rgb="FF7B7B7B"/>
        <bgColor rgb="FF7B7B7B"/>
      </patternFill>
    </fill>
    <fill>
      <patternFill patternType="solid">
        <fgColor rgb="FFBF9000"/>
        <bgColor rgb="FFBF9000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DADADA"/>
        <bgColor rgb="FFDADADA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FEF2CB"/>
        <bgColor rgb="FFFEF2CB"/>
      </patternFill>
    </fill>
    <fill>
      <patternFill patternType="solid">
        <fgColor rgb="FF7F7F7F"/>
        <bgColor rgb="FF7F7F7F"/>
      </patternFill>
    </fill>
    <fill>
      <patternFill patternType="solid">
        <fgColor rgb="FF3F3F3F"/>
        <bgColor rgb="FF3F3F3F"/>
      </patternFill>
    </fill>
    <fill>
      <patternFill patternType="solid">
        <fgColor rgb="FF01BD32"/>
        <bgColor rgb="FF01BD32"/>
      </patternFill>
    </fill>
  </fills>
  <borders count="78">
    <border/>
    <border>
      <left/>
      <right/>
      <top/>
      <bottom/>
    </border>
    <border>
      <right style="medium">
        <color rgb="FFA5A5A5"/>
      </right>
    </border>
    <border>
      <left style="medium">
        <color rgb="FFA5A5A5"/>
      </left>
      <right/>
      <top style="medium">
        <color rgb="FFA5A5A5"/>
      </top>
    </border>
    <border>
      <left style="thin">
        <color rgb="FFA5A5A5"/>
      </left>
      <right style="thin">
        <color rgb="FFA5A5A5"/>
      </right>
      <top style="medium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medium">
        <color rgb="FFA5A5A5"/>
      </right>
      <top style="medium">
        <color rgb="FFA5A5A5"/>
      </top>
      <bottom style="thin">
        <color rgb="FFA5A5A5"/>
      </bottom>
    </border>
    <border>
      <left style="medium">
        <color rgb="FFA5A5A5"/>
      </left>
      <right/>
    </border>
    <border>
      <left style="thin">
        <color rgb="FFA5A5A5"/>
      </left>
      <right style="medium">
        <color rgb="FFA5A5A5"/>
      </right>
      <top style="thin">
        <color rgb="FFA5A5A5"/>
      </top>
      <bottom style="thin">
        <color rgb="FFA5A5A5"/>
      </bottom>
    </border>
    <border>
      <left style="medium">
        <color rgb="FFA5A5A5"/>
      </left>
      <right/>
      <bottom style="thin">
        <color rgb="FFA5A5A5"/>
      </bottom>
    </border>
    <border>
      <left style="medium">
        <color rgb="FFBFBFBF"/>
      </left>
      <right/>
      <top style="medium">
        <color rgb="FFBFBFBF"/>
      </top>
    </border>
    <border>
      <left style="medium">
        <color rgb="FFBFBFBF"/>
      </left>
      <right style="thin">
        <color rgb="FFBFBFBF"/>
      </right>
      <top style="medium">
        <color rgb="FFBFBFBF"/>
      </top>
    </border>
    <border>
      <left style="thin">
        <color rgb="FFBFBFBF"/>
      </left>
      <right/>
      <top style="medium">
        <color rgb="FFBFBFBF"/>
      </top>
    </border>
    <border>
      <left style="medium">
        <color rgb="FFA5A5A5"/>
      </left>
      <top style="medium">
        <color rgb="FFA5A5A5"/>
      </top>
      <bottom style="thin">
        <color rgb="FFA5A5A5"/>
      </bottom>
    </border>
    <border>
      <top style="medium">
        <color rgb="FFA5A5A5"/>
      </top>
      <bottom style="thin">
        <color rgb="FFA5A5A5"/>
      </bottom>
    </border>
    <border>
      <right style="medium">
        <color rgb="FFA5A5A5"/>
      </right>
      <top style="medium">
        <color rgb="FFA5A5A5"/>
      </top>
      <bottom style="thin">
        <color rgb="FFA5A5A5"/>
      </bottom>
    </border>
    <border>
      <left style="medium">
        <color rgb="FFA5A5A5"/>
      </left>
      <right style="medium">
        <color rgb="FFA5A5A5"/>
      </right>
      <top style="medium">
        <color rgb="FFA5A5A5"/>
      </top>
    </border>
    <border>
      <left/>
      <right style="thin">
        <color rgb="FFBFBFBF"/>
      </right>
      <top style="medium">
        <color rgb="FFBFBFBF"/>
      </top>
    </border>
    <border>
      <left style="thin">
        <color rgb="FFBFBFBF"/>
      </left>
      <right style="thin">
        <color rgb="FFBFBFBF"/>
      </right>
      <top style="medium">
        <color rgb="FFBFBFBF"/>
      </top>
    </border>
    <border>
      <left style="thin">
        <color rgb="FFBFBFBF"/>
      </left>
      <right style="thin">
        <color rgb="FFBFBFBF"/>
      </right>
      <top/>
    </border>
    <border>
      <left style="thin">
        <color rgb="FFBFBFBF"/>
      </left>
      <right style="medium">
        <color rgb="FFBFBFBF"/>
      </right>
      <top/>
    </border>
    <border>
      <left style="medium">
        <color rgb="FFBFBFBF"/>
      </left>
      <top/>
      <bottom style="thin">
        <color rgb="FFBFBFBF"/>
      </bottom>
    </border>
    <border>
      <top/>
      <bottom style="thin">
        <color rgb="FFBFBFBF"/>
      </bottom>
    </border>
    <border>
      <right style="thin">
        <color rgb="FFBFBFBF"/>
      </right>
      <top/>
      <bottom style="thin">
        <color rgb="FFBFBFBF"/>
      </bottom>
    </border>
    <border>
      <left style="thin">
        <color rgb="FFBFBFBF"/>
      </left>
      <top/>
      <bottom style="thin">
        <color rgb="FFBFBFBF"/>
      </bottom>
    </border>
    <border>
      <right style="medium">
        <color rgb="FFBFBFBF"/>
      </right>
      <top/>
      <bottom style="thin">
        <color rgb="FFBFBFBF"/>
      </bottom>
    </border>
    <border>
      <left style="medium">
        <color rgb="FFBFBFBF"/>
      </left>
      <right/>
      <bottom style="double">
        <color rgb="FFBFBFBF"/>
      </bottom>
    </border>
    <border>
      <left style="medium">
        <color rgb="FFBFBFBF"/>
      </left>
      <right style="thin">
        <color rgb="FFBFBFBF"/>
      </right>
      <bottom style="double">
        <color rgb="FFBFBFBF"/>
      </bottom>
    </border>
    <border>
      <left style="thin">
        <color rgb="FFBFBFBF"/>
      </left>
      <right/>
      <bottom style="double">
        <color rgb="FFBFBFBF"/>
      </bottom>
    </border>
    <border>
      <left style="medium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medium">
        <color rgb="FFA5A5A5"/>
      </left>
      <right style="medium">
        <color rgb="FFA5A5A5"/>
      </right>
      <bottom style="double">
        <color rgb="FFBFBFBF"/>
      </bottom>
    </border>
    <border>
      <left/>
      <right style="thin">
        <color rgb="FFBFBFBF"/>
      </right>
      <bottom style="double">
        <color rgb="FFBFBFBF"/>
      </bottom>
    </border>
    <border>
      <left style="thin">
        <color rgb="FFBFBFBF"/>
      </left>
      <right style="thin">
        <color rgb="FFBFBFBF"/>
      </right>
      <bottom style="double">
        <color rgb="FFBFBFBF"/>
      </bottom>
    </border>
    <border>
      <left style="thin">
        <color rgb="FFBFBFBF"/>
      </left>
      <right style="medium">
        <color rgb="FFBFBFBF"/>
      </right>
      <bottom style="double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double">
        <color rgb="FFBFBFBF"/>
      </bottom>
    </border>
    <border>
      <left style="medium">
        <color rgb="FFBFBFBF"/>
      </left>
      <right/>
      <top/>
      <bottom style="thin">
        <color rgb="FFBFBFBF"/>
      </bottom>
    </border>
    <border>
      <left style="medium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 style="medium">
        <color rgb="FFA5A5A5"/>
      </left>
      <right style="medium">
        <color rgb="FFA5A5A5"/>
      </right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/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medium">
        <color rgb="FFA5A5A5"/>
      </left>
      <right style="medium">
        <color rgb="FFA5A5A5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medium">
        <color rgb="FFBFBFBF"/>
      </left>
      <right/>
      <top style="thin">
        <color rgb="FFBFBFBF"/>
      </top>
    </border>
    <border>
      <left style="medium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</border>
    <border>
      <left style="medium">
        <color rgb="FFA5A5A5"/>
      </left>
      <right style="thin">
        <color rgb="FFA5A5A5"/>
      </right>
      <top style="thin">
        <color rgb="FFA5A5A5"/>
      </top>
    </border>
    <border>
      <left style="thin">
        <color rgb="FFA5A5A5"/>
      </left>
      <right style="thin">
        <color rgb="FFA5A5A5"/>
      </right>
      <top style="thin">
        <color rgb="FFA5A5A5"/>
      </top>
    </border>
    <border>
      <left style="thin">
        <color rgb="FFA5A5A5"/>
      </left>
      <right style="medium">
        <color rgb="FFA5A5A5"/>
      </right>
      <top style="thin">
        <color rgb="FFA5A5A5"/>
      </top>
    </border>
    <border>
      <left style="medium">
        <color rgb="FFA5A5A5"/>
      </left>
      <right style="medium">
        <color rgb="FFA5A5A5"/>
      </right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medium">
        <color rgb="FFBFBFBF"/>
      </right>
      <top style="thin">
        <color rgb="FFBFBFBF"/>
      </top>
    </border>
    <border>
      <left style="medium">
        <color rgb="FFBFBFBF"/>
      </left>
      <right/>
      <top style="thin">
        <color rgb="FF999999"/>
      </top>
    </border>
    <border>
      <left style="medium">
        <color rgb="FFBFBFBF"/>
      </left>
      <right style="thin">
        <color rgb="FFBFBFBF"/>
      </right>
      <top style="thin">
        <color rgb="FF999999"/>
      </top>
    </border>
    <border>
      <left style="thin">
        <color rgb="FFBFBFBF"/>
      </left>
      <top style="thin">
        <color rgb="FF999999"/>
      </top>
      <bottom style="thin">
        <color rgb="FFBFBFBF"/>
      </bottom>
    </border>
    <border>
      <left style="medium">
        <color rgb="FFA5A5A5"/>
      </left>
      <right style="thin">
        <color rgb="FFA5A5A5"/>
      </right>
      <top style="thin">
        <color rgb="FF999999"/>
      </top>
    </border>
    <border>
      <left style="thin">
        <color rgb="FFA5A5A5"/>
      </left>
      <right style="thin">
        <color rgb="FFA5A5A5"/>
      </right>
      <top style="thin">
        <color rgb="FF999999"/>
      </top>
    </border>
    <border>
      <left style="thin">
        <color rgb="FFA5A5A5"/>
      </left>
      <right style="medium">
        <color rgb="FFA5A5A5"/>
      </right>
      <top style="thin">
        <color rgb="FF999999"/>
      </top>
      <bottom style="medium">
        <color rgb="FFA5A5A5"/>
      </bottom>
    </border>
    <border>
      <left style="medium">
        <color rgb="FFA5A5A5"/>
      </left>
      <right style="medium">
        <color rgb="FFA5A5A5"/>
      </right>
      <top style="thin">
        <color rgb="FF999999"/>
      </top>
    </border>
    <border>
      <right style="thin">
        <color rgb="FFBFBFBF"/>
      </right>
      <top style="thin">
        <color rgb="FF999999"/>
      </top>
    </border>
    <border>
      <left style="thin">
        <color rgb="FFBFBFBF"/>
      </left>
      <right style="thin">
        <color rgb="FFBFBFBF"/>
      </right>
      <top style="thin">
        <color rgb="FF999999"/>
      </top>
    </border>
    <border>
      <left style="thin">
        <color rgb="FFBFBFBF"/>
      </left>
      <right style="thin">
        <color rgb="FFBFBFBF"/>
      </right>
      <top style="thin">
        <color rgb="FF999999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999999"/>
      </top>
    </border>
    <border>
      <left style="thin">
        <color rgb="FFBFBFBF"/>
      </lef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ill="1" applyFont="1">
      <alignment vertical="center"/>
    </xf>
    <xf borderId="0" fillId="0" fontId="4" numFmtId="0" xfId="0" applyFont="1"/>
    <xf borderId="0" fillId="0" fontId="5" numFmtId="0" xfId="0" applyAlignment="1" applyFont="1">
      <alignment vertical="center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0" fillId="0" fontId="8" numFmtId="0" xfId="0" applyAlignment="1" applyFont="1">
      <alignment vertical="center"/>
    </xf>
    <xf borderId="2" fillId="0" fontId="8" numFmtId="0" xfId="0" applyAlignment="1" applyBorder="1" applyFont="1">
      <alignment vertical="center"/>
    </xf>
    <xf borderId="3" fillId="3" fontId="10" numFmtId="0" xfId="0" applyAlignment="1" applyBorder="1" applyFill="1" applyFont="1">
      <alignment horizontal="center" shrinkToFit="0" vertical="center" wrapText="1"/>
    </xf>
    <xf borderId="4" fillId="4" fontId="10" numFmtId="0" xfId="0" applyAlignment="1" applyBorder="1" applyFill="1" applyFont="1">
      <alignment horizontal="center" shrinkToFit="0" vertical="center" wrapText="1"/>
    </xf>
    <xf borderId="5" fillId="4" fontId="7" numFmtId="0" xfId="0" applyAlignment="1" applyBorder="1" applyFill="1" applyFont="1">
      <alignment horizontal="left" vertical="center"/>
    </xf>
    <xf borderId="5" fillId="4" fontId="9" numFmtId="0" xfId="0" applyBorder="1" applyFill="1" applyFont="1"/>
    <xf borderId="5" fillId="0" fontId="9" numFmtId="0" xfId="0" applyBorder="1" applyFont="1"/>
    <xf borderId="5" fillId="0" fontId="7" numFmtId="0" xfId="0" applyAlignment="1" applyBorder="1" applyFont="1">
      <alignment horizontal="left" vertical="center"/>
    </xf>
    <xf borderId="4" fillId="0" fontId="9" numFmtId="0" xfId="0" applyBorder="1" applyFont="1"/>
    <xf borderId="6" fillId="0" fontId="9" numFmtId="0" xfId="0" applyBorder="1" applyFont="1"/>
    <xf borderId="0" fillId="0" fontId="9" numFmtId="0" xfId="0" applyFont="1"/>
    <xf borderId="7" fillId="0" fontId="11" numFmtId="0" xfId="0" applyBorder="1" applyFont="1"/>
    <xf borderId="5" fillId="5" fontId="10" numFmtId="0" xfId="0" applyAlignment="1" applyBorder="1" applyFill="1" applyFont="1">
      <alignment horizontal="center" shrinkToFit="0" vertical="center" wrapText="1"/>
    </xf>
    <xf borderId="5" fillId="5" fontId="9" numFmtId="0" xfId="0" applyBorder="1" applyFill="1" applyFont="1"/>
    <xf borderId="5" fillId="5" fontId="7" numFmtId="0" xfId="0" applyAlignment="1" applyBorder="1" applyFill="1" applyFont="1">
      <alignment horizontal="left" vertical="center"/>
    </xf>
    <xf borderId="8" fillId="0" fontId="9" numFmtId="0" xfId="0" applyBorder="1" applyFont="1"/>
    <xf borderId="5" fillId="6" fontId="10" numFmtId="0" xfId="0" applyAlignment="1" applyBorder="1" applyFill="1" applyFont="1">
      <alignment horizontal="center" shrinkToFit="0" vertical="center" wrapText="1"/>
    </xf>
    <xf borderId="5" fillId="6" fontId="7" numFmtId="0" xfId="0" applyAlignment="1" applyBorder="1" applyFill="1" applyFont="1">
      <alignment horizontal="left" vertical="center"/>
    </xf>
    <xf borderId="5" fillId="6" fontId="9" numFmtId="0" xfId="0" applyBorder="1" applyFill="1" applyFont="1"/>
    <xf borderId="5" fillId="7" fontId="10" numFmtId="0" xfId="0" applyAlignment="1" applyBorder="1" applyFill="1" applyFont="1">
      <alignment horizontal="center" shrinkToFit="0" vertical="center" wrapText="1"/>
    </xf>
    <xf borderId="9" fillId="0" fontId="11" numFmtId="0" xfId="0" applyBorder="1" applyFont="1"/>
    <xf borderId="5" fillId="8" fontId="10" numFmtId="0" xfId="0" applyAlignment="1" applyBorder="1" applyFill="1" applyFont="1">
      <alignment horizontal="center" shrinkToFit="0" vertical="center" wrapText="1"/>
    </xf>
    <xf borderId="10" fillId="3" fontId="12" numFmtId="0" xfId="0" applyAlignment="1" applyBorder="1" applyFill="1" applyFont="1">
      <alignment horizontal="center" shrinkToFit="0" vertical="center" wrapText="1"/>
    </xf>
    <xf borderId="11" fillId="3" fontId="10" numFmtId="0" xfId="0" applyAlignment="1" applyBorder="1" applyFill="1" applyFont="1">
      <alignment horizontal="left" shrinkToFit="0" vertical="center" wrapText="1"/>
    </xf>
    <xf borderId="12" fillId="3" fontId="10" numFmtId="0" xfId="0" applyAlignment="1" applyBorder="1" applyFill="1" applyFont="1">
      <alignment horizontal="left" shrinkToFit="0" vertical="center" wrapText="1"/>
    </xf>
    <xf borderId="13" fillId="3" fontId="10" numFmtId="0" xfId="0" applyAlignment="1" applyBorder="1" applyFill="1" applyFont="1">
      <alignment horizontal="center" shrinkToFit="0" vertical="center" wrapText="1"/>
    </xf>
    <xf borderId="14" fillId="0" fontId="11" numFmtId="0" xfId="0" applyBorder="1" applyFont="1"/>
    <xf borderId="15" fillId="0" fontId="11" numFmtId="0" xfId="0" applyBorder="1" applyFont="1"/>
    <xf borderId="16" fillId="3" fontId="10" numFmtId="0" xfId="0" applyAlignment="1" applyBorder="1" applyFill="1" applyFont="1">
      <alignment horizontal="center" shrinkToFit="0" vertical="center" wrapText="1"/>
    </xf>
    <xf borderId="17" fillId="3" fontId="10" numFmtId="0" xfId="0" applyAlignment="1" applyBorder="1" applyFill="1" applyFont="1">
      <alignment horizontal="center" shrinkToFit="0" vertical="center" wrapText="1"/>
    </xf>
    <xf borderId="18" fillId="3" fontId="10" numFmtId="0" xfId="0" applyAlignment="1" applyBorder="1" applyFill="1" applyFont="1">
      <alignment horizontal="center" shrinkToFit="0" vertical="center" wrapText="1"/>
    </xf>
    <xf borderId="19" fillId="3" fontId="10" numFmtId="0" xfId="0" applyAlignment="1" applyBorder="1" applyFill="1" applyFont="1">
      <alignment horizontal="center" shrinkToFit="0" vertical="center" wrapText="1"/>
    </xf>
    <xf borderId="20" fillId="3" fontId="10" numFmtId="0" xfId="0" applyAlignment="1" applyBorder="1" applyFill="1" applyFont="1">
      <alignment horizontal="center" shrinkToFit="0" vertical="center" wrapText="1"/>
    </xf>
    <xf borderId="21" fillId="9" fontId="13" numFmtId="0" xfId="0" applyAlignment="1" applyBorder="1" applyFill="1" applyFont="1">
      <alignment horizontal="center" vertical="center"/>
    </xf>
    <xf borderId="22" fillId="0" fontId="11" numFmtId="0" xfId="0" applyBorder="1" applyFont="1"/>
    <xf borderId="23" fillId="0" fontId="11" numFmtId="0" xfId="0" applyBorder="1" applyFont="1"/>
    <xf borderId="24" fillId="9" fontId="13" numFmtId="0" xfId="0" applyAlignment="1" applyBorder="1" applyFill="1" applyFont="1">
      <alignment horizontal="center" vertical="center"/>
    </xf>
    <xf borderId="25" fillId="0" fontId="11" numFmtId="0" xfId="0" applyBorder="1" applyFont="1"/>
    <xf borderId="21" fillId="10" fontId="13" numFmtId="0" xfId="0" applyAlignment="1" applyBorder="1" applyFill="1" applyFont="1">
      <alignment horizontal="center" vertical="center"/>
    </xf>
    <xf borderId="24" fillId="10" fontId="13" numFmtId="0" xfId="0" applyAlignment="1" applyBorder="1" applyFill="1" applyFont="1">
      <alignment horizontal="center" vertical="center"/>
    </xf>
    <xf borderId="21" fillId="11" fontId="13" numFmtId="0" xfId="0" applyAlignment="1" applyBorder="1" applyFill="1" applyFont="1">
      <alignment horizontal="center" vertical="center"/>
    </xf>
    <xf borderId="24" fillId="11" fontId="13" numFmtId="0" xfId="0" applyAlignment="1" applyBorder="1" applyFill="1" applyFont="1">
      <alignment horizontal="center" vertical="center"/>
    </xf>
    <xf borderId="21" fillId="12" fontId="13" numFmtId="0" xfId="0" applyAlignment="1" applyBorder="1" applyFill="1" applyFont="1">
      <alignment horizontal="center" vertical="center"/>
    </xf>
    <xf borderId="24" fillId="12" fontId="13" numFmtId="0" xfId="0" applyAlignment="1" applyBorder="1" applyFill="1" applyFont="1">
      <alignment horizontal="center" vertical="center"/>
    </xf>
    <xf borderId="26" fillId="0" fontId="11" numFmtId="0" xfId="0" applyBorder="1" applyFont="1"/>
    <xf borderId="27" fillId="0" fontId="11" numFmtId="0" xfId="0" applyBorder="1" applyFont="1"/>
    <xf borderId="28" fillId="0" fontId="11" numFmtId="0" xfId="0" applyBorder="1" applyFont="1"/>
    <xf borderId="29" fillId="3" fontId="12" numFmtId="0" xfId="0" applyAlignment="1" applyBorder="1" applyFill="1" applyFont="1">
      <alignment horizontal="center" shrinkToFit="0" vertical="center" wrapText="1"/>
    </xf>
    <xf borderId="5" fillId="3" fontId="12" numFmtId="0" xfId="0" applyAlignment="1" applyBorder="1" applyFill="1" applyFont="1">
      <alignment horizontal="center" shrinkToFit="0" vertical="center" wrapText="1"/>
    </xf>
    <xf borderId="8" fillId="3" fontId="12" numFmtId="0" xfId="0" applyAlignment="1" applyBorder="1" applyFill="1" applyFont="1">
      <alignment horizontal="center" shrinkToFit="0" vertical="center" wrapText="1"/>
    </xf>
    <xf borderId="30" fillId="0" fontId="11" numFmtId="0" xfId="0" applyBorder="1" applyFont="1"/>
    <xf borderId="31" fillId="0" fontId="11" numFmtId="0" xfId="0" applyBorder="1" applyFont="1"/>
    <xf borderId="32" fillId="0" fontId="11" numFmtId="0" xfId="0" applyBorder="1" applyFont="1"/>
    <xf borderId="33" fillId="0" fontId="11" numFmtId="0" xfId="0" applyBorder="1" applyFont="1"/>
    <xf borderId="34" fillId="13" fontId="14" numFmtId="0" xfId="0" applyAlignment="1" applyBorder="1" applyFill="1" applyFont="1">
      <alignment horizontal="center" vertical="center"/>
    </xf>
    <xf borderId="35" fillId="13" fontId="14" numFmtId="0" xfId="0" applyAlignment="1" applyBorder="1" applyFill="1" applyFont="1">
      <alignment horizontal="center" vertical="center"/>
    </xf>
    <xf borderId="36" fillId="13" fontId="14" numFmtId="0" xfId="0" applyAlignment="1" applyBorder="1" applyFill="1" applyFont="1">
      <alignment horizontal="center" vertical="center"/>
    </xf>
    <xf borderId="34" fillId="14" fontId="14" numFmtId="0" xfId="0" applyAlignment="1" applyBorder="1" applyFill="1" applyFont="1">
      <alignment horizontal="center" vertical="center"/>
    </xf>
    <xf borderId="35" fillId="14" fontId="14" numFmtId="0" xfId="0" applyAlignment="1" applyBorder="1" applyFill="1" applyFont="1">
      <alignment horizontal="center" vertical="center"/>
    </xf>
    <xf borderId="36" fillId="14" fontId="14" numFmtId="0" xfId="0" applyAlignment="1" applyBorder="1" applyFill="1" applyFont="1">
      <alignment horizontal="center" vertical="center"/>
    </xf>
    <xf borderId="34" fillId="15" fontId="14" numFmtId="0" xfId="0" applyAlignment="1" applyBorder="1" applyFill="1" applyFont="1">
      <alignment horizontal="center" vertical="center"/>
    </xf>
    <xf borderId="35" fillId="15" fontId="14" numFmtId="0" xfId="0" applyAlignment="1" applyBorder="1" applyFill="1" applyFont="1">
      <alignment horizontal="center" vertical="center"/>
    </xf>
    <xf borderId="36" fillId="15" fontId="14" numFmtId="0" xfId="0" applyAlignment="1" applyBorder="1" applyFill="1" applyFont="1">
      <alignment horizontal="center" vertical="center"/>
    </xf>
    <xf borderId="34" fillId="16" fontId="14" numFmtId="0" xfId="0" applyAlignment="1" applyBorder="1" applyFill="1" applyFont="1">
      <alignment horizontal="center" vertical="center"/>
    </xf>
    <xf borderId="35" fillId="16" fontId="14" numFmtId="0" xfId="0" applyAlignment="1" applyBorder="1" applyFill="1" applyFont="1">
      <alignment horizontal="center" vertical="center"/>
    </xf>
    <xf borderId="36" fillId="16" fontId="14" numFmtId="0" xfId="0" applyAlignment="1" applyBorder="1" applyFill="1" applyFont="1">
      <alignment horizontal="center" vertical="center"/>
    </xf>
    <xf borderId="37" fillId="17" fontId="4" numFmtId="49" xfId="0" applyAlignment="1" applyBorder="1" applyFill="1" applyFont="1" applyNumberFormat="1">
      <alignment horizontal="left" vertical="center"/>
    </xf>
    <xf borderId="38" fillId="17" fontId="4" numFmtId="0" xfId="0" applyAlignment="1" applyBorder="1" applyFill="1" applyFont="1">
      <alignment horizontal="left" readingOrder="0" vertical="center"/>
    </xf>
    <xf borderId="39" fillId="17" fontId="4" numFmtId="0" xfId="0" applyAlignment="1" applyBorder="1" applyFill="1" applyFont="1">
      <alignment horizontal="left" vertical="center"/>
    </xf>
    <xf borderId="29" fillId="3" fontId="4" numFmtId="0" xfId="0" applyAlignment="1" applyBorder="1" applyFill="1" applyFont="1">
      <alignment horizontal="center" vertical="center"/>
    </xf>
    <xf borderId="5" fillId="3" fontId="4" numFmtId="0" xfId="0" applyAlignment="1" applyBorder="1" applyFill="1" applyFont="1">
      <alignment horizontal="center" vertical="center"/>
    </xf>
    <xf borderId="8" fillId="3" fontId="4" numFmtId="0" xfId="0" applyAlignment="1" applyBorder="1" applyFill="1" applyFont="1">
      <alignment horizontal="center" vertical="center"/>
    </xf>
    <xf borderId="40" fillId="3" fontId="4" numFmtId="0" xfId="0" applyAlignment="1" applyBorder="1" applyFill="1" applyFont="1">
      <alignment horizontal="left" vertical="center"/>
    </xf>
    <xf borderId="41" fillId="3" fontId="4" numFmtId="14" xfId="0" applyAlignment="1" applyBorder="1" applyFill="1" applyFont="1" applyNumberFormat="1">
      <alignment horizontal="center" vertical="center"/>
    </xf>
    <xf borderId="42" fillId="3" fontId="4" numFmtId="14" xfId="0" applyAlignment="1" applyBorder="1" applyFill="1" applyFont="1" applyNumberFormat="1">
      <alignment horizontal="center" vertical="center"/>
    </xf>
    <xf borderId="42" fillId="3" fontId="4" numFmtId="1" xfId="0" applyAlignment="1" applyBorder="1" applyFill="1" applyFont="1" applyNumberFormat="1">
      <alignment horizontal="center" vertical="center"/>
    </xf>
    <xf borderId="42" fillId="3" fontId="14" numFmtId="9" xfId="0" applyAlignment="1" applyBorder="1" applyFill="1" applyFont="1" applyNumberFormat="1">
      <alignment horizontal="center" vertical="center"/>
    </xf>
    <xf borderId="43" fillId="3" fontId="4" numFmtId="0" xfId="0" applyBorder="1" applyFill="1" applyFont="1"/>
    <xf borderId="44" fillId="3" fontId="4" numFmtId="0" xfId="0" applyBorder="1" applyFill="1" applyFont="1"/>
    <xf borderId="45" fillId="3" fontId="4" numFmtId="0" xfId="0" applyBorder="1" applyFill="1" applyFont="1"/>
    <xf borderId="46" fillId="17" fontId="4" numFmtId="49" xfId="0" applyAlignment="1" applyBorder="1" applyFill="1" applyFont="1" applyNumberFormat="1">
      <alignment horizontal="left" vertical="center"/>
    </xf>
    <xf borderId="43" fillId="0" fontId="4" numFmtId="0" xfId="0" applyAlignment="1" applyBorder="1" applyFont="1">
      <alignment horizontal="left" readingOrder="0" shrinkToFit="0" vertical="center" wrapText="1"/>
    </xf>
    <xf borderId="47" fillId="0" fontId="4" numFmtId="0" xfId="0" applyAlignment="1" applyBorder="1" applyFont="1">
      <alignment horizontal="left" readingOrder="0" vertical="center"/>
    </xf>
    <xf borderId="29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8" fillId="17" fontId="4" numFmtId="0" xfId="0" applyAlignment="1" applyBorder="1" applyFill="1" applyFont="1">
      <alignment horizontal="center" vertical="center"/>
    </xf>
    <xf borderId="48" fillId="0" fontId="4" numFmtId="0" xfId="0" applyAlignment="1" applyBorder="1" applyFont="1">
      <alignment horizontal="left" readingOrder="0" vertical="center"/>
    </xf>
    <xf borderId="49" fillId="0" fontId="4" numFmtId="164" xfId="0" applyAlignment="1" applyBorder="1" applyFont="1" applyNumberFormat="1">
      <alignment horizontal="center" vertical="center"/>
    </xf>
    <xf borderId="44" fillId="0" fontId="4" numFmtId="164" xfId="0" applyAlignment="1" applyBorder="1" applyFont="1" applyNumberFormat="1">
      <alignment horizontal="center" vertical="center"/>
    </xf>
    <xf borderId="44" fillId="17" fontId="4" numFmtId="1" xfId="0" applyAlignment="1" applyBorder="1" applyFill="1" applyFont="1" applyNumberFormat="1">
      <alignment horizontal="center" vertical="center"/>
    </xf>
    <xf borderId="42" fillId="2" fontId="14" numFmtId="9" xfId="0" applyAlignment="1" applyBorder="1" applyFill="1" applyFont="1" applyNumberFormat="1">
      <alignment horizontal="center" vertical="center"/>
    </xf>
    <xf borderId="43" fillId="0" fontId="4" numFmtId="0" xfId="0" applyBorder="1" applyFont="1"/>
    <xf borderId="44" fillId="9" fontId="4" numFmtId="0" xfId="0" applyBorder="1" applyFill="1" applyFont="1"/>
    <xf borderId="44" fillId="0" fontId="4" numFmtId="0" xfId="0" applyBorder="1" applyFont="1"/>
    <xf borderId="44" fillId="18" fontId="4" numFmtId="0" xfId="0" applyBorder="1" applyFill="1" applyFont="1"/>
    <xf borderId="45" fillId="0" fontId="4" numFmtId="0" xfId="0" applyBorder="1" applyFont="1"/>
    <xf borderId="44" fillId="19" fontId="4" numFmtId="0" xfId="0" applyBorder="1" applyFill="1" applyFont="1"/>
    <xf borderId="44" fillId="20" fontId="4" numFmtId="0" xfId="0" applyBorder="1" applyFill="1" applyFont="1"/>
    <xf borderId="44" fillId="21" fontId="4" numFmtId="0" xfId="0" applyBorder="1" applyFill="1" applyFont="1"/>
    <xf borderId="46" fillId="17" fontId="4" numFmtId="49" xfId="0" applyAlignment="1" applyBorder="1" applyFill="1" applyFont="1" applyNumberFormat="1">
      <alignment horizontal="left" readingOrder="0" vertical="center"/>
    </xf>
    <xf borderId="43" fillId="17" fontId="4" numFmtId="0" xfId="0" applyAlignment="1" applyBorder="1" applyFill="1" applyFont="1">
      <alignment horizontal="left" readingOrder="0" vertical="center"/>
    </xf>
    <xf borderId="50" fillId="17" fontId="4" numFmtId="0" xfId="0" applyAlignment="1" applyBorder="1" applyFill="1" applyFont="1">
      <alignment horizontal="left" vertical="center"/>
    </xf>
    <xf borderId="48" fillId="3" fontId="4" numFmtId="0" xfId="0" applyAlignment="1" applyBorder="1" applyFill="1" applyFont="1">
      <alignment horizontal="left" vertical="center"/>
    </xf>
    <xf borderId="51" fillId="3" fontId="4" numFmtId="164" xfId="0" applyAlignment="1" applyBorder="1" applyFill="1" applyFont="1" applyNumberFormat="1">
      <alignment horizontal="center" vertical="center"/>
    </xf>
    <xf borderId="44" fillId="3" fontId="4" numFmtId="164" xfId="0" applyAlignment="1" applyBorder="1" applyFill="1" applyFont="1" applyNumberFormat="1">
      <alignment horizontal="center" vertical="center"/>
    </xf>
    <xf borderId="44" fillId="3" fontId="4" numFmtId="14" xfId="0" applyAlignment="1" applyBorder="1" applyFill="1" applyFont="1" applyNumberFormat="1">
      <alignment horizontal="center" vertical="center"/>
    </xf>
    <xf borderId="52" fillId="0" fontId="4" numFmtId="0" xfId="0" applyBorder="1" applyFont="1"/>
    <xf borderId="47" fillId="0" fontId="5" numFmtId="0" xfId="0" applyAlignment="1" applyBorder="1" applyFont="1">
      <alignment vertical="bottom"/>
    </xf>
    <xf borderId="49" fillId="0" fontId="5" numFmtId="0" xfId="0" applyAlignment="1" applyBorder="1" applyFont="1">
      <alignment vertical="bottom"/>
    </xf>
    <xf borderId="44" fillId="0" fontId="5" numFmtId="0" xfId="0" applyAlignment="1" applyBorder="1" applyFont="1">
      <alignment vertical="bottom"/>
    </xf>
    <xf borderId="45" fillId="0" fontId="5" numFmtId="0" xfId="0" applyAlignment="1" applyBorder="1" applyFont="1">
      <alignment vertical="bottom"/>
    </xf>
    <xf borderId="43" fillId="0" fontId="5" numFmtId="0" xfId="0" applyAlignment="1" applyBorder="1" applyFont="1">
      <alignment vertical="bottom"/>
    </xf>
    <xf borderId="47" fillId="0" fontId="4" numFmtId="0" xfId="0" applyBorder="1" applyFont="1"/>
    <xf borderId="43" fillId="10" fontId="4" numFmtId="0" xfId="0" applyBorder="1" applyFill="1" applyFont="1"/>
    <xf borderId="43" fillId="17" fontId="4" numFmtId="0" xfId="0" applyAlignment="1" applyBorder="1" applyFill="1" applyFont="1">
      <alignment horizontal="left" readingOrder="0" shrinkToFit="0" vertical="center" wrapText="1"/>
    </xf>
    <xf borderId="53" fillId="17" fontId="4" numFmtId="49" xfId="0" applyAlignment="1" applyBorder="1" applyFill="1" applyFont="1" applyNumberFormat="1">
      <alignment horizontal="left" vertical="center"/>
    </xf>
    <xf borderId="54" fillId="0" fontId="4" numFmtId="0" xfId="0" applyAlignment="1" applyBorder="1" applyFont="1">
      <alignment horizontal="left" readingOrder="0" shrinkToFit="0" vertical="center" wrapText="1"/>
    </xf>
    <xf borderId="55" fillId="0" fontId="4" numFmtId="0" xfId="0" applyAlignment="1" applyBorder="1" applyFont="1">
      <alignment horizontal="left" readingOrder="0" vertical="center"/>
    </xf>
    <xf borderId="56" fillId="0" fontId="4" numFmtId="0" xfId="0" applyAlignment="1" applyBorder="1" applyFont="1">
      <alignment horizontal="center" readingOrder="0" vertical="center"/>
    </xf>
    <xf borderId="57" fillId="0" fontId="4" numFmtId="0" xfId="0" applyAlignment="1" applyBorder="1" applyFont="1">
      <alignment horizontal="center" readingOrder="0" vertical="center"/>
    </xf>
    <xf borderId="58" fillId="17" fontId="4" numFmtId="0" xfId="0" applyAlignment="1" applyBorder="1" applyFill="1" applyFont="1">
      <alignment horizontal="center" vertical="center"/>
    </xf>
    <xf borderId="59" fillId="0" fontId="4" numFmtId="0" xfId="0" applyAlignment="1" applyBorder="1" applyFont="1">
      <alignment horizontal="left" readingOrder="0" vertical="center"/>
    </xf>
    <xf borderId="60" fillId="0" fontId="4" numFmtId="164" xfId="0" applyAlignment="1" applyBorder="1" applyFont="1" applyNumberFormat="1">
      <alignment horizontal="center" vertical="center"/>
    </xf>
    <xf borderId="61" fillId="0" fontId="4" numFmtId="164" xfId="0" applyAlignment="1" applyBorder="1" applyFont="1" applyNumberFormat="1">
      <alignment horizontal="center" vertical="center"/>
    </xf>
    <xf borderId="61" fillId="17" fontId="4" numFmtId="1" xfId="0" applyAlignment="1" applyBorder="1" applyFill="1" applyFont="1" applyNumberFormat="1">
      <alignment horizontal="center" vertical="center"/>
    </xf>
    <xf borderId="54" fillId="0" fontId="4" numFmtId="0" xfId="0" applyBorder="1" applyFont="1"/>
    <xf borderId="61" fillId="0" fontId="4" numFmtId="0" xfId="0" applyBorder="1" applyFont="1"/>
    <xf borderId="54" fillId="10" fontId="4" numFmtId="0" xfId="0" applyBorder="1" applyFill="1" applyFont="1"/>
    <xf borderId="61" fillId="19" fontId="4" numFmtId="0" xfId="0" applyBorder="1" applyFill="1" applyFont="1"/>
    <xf borderId="62" fillId="0" fontId="4" numFmtId="0" xfId="0" applyBorder="1" applyFont="1"/>
    <xf borderId="61" fillId="20" fontId="4" numFmtId="0" xfId="0" applyBorder="1" applyFill="1" applyFont="1"/>
    <xf borderId="61" fillId="21" fontId="4" numFmtId="0" xfId="0" applyBorder="1" applyFill="1" applyFont="1"/>
    <xf borderId="63" fillId="17" fontId="4" numFmtId="49" xfId="0" applyAlignment="1" applyBorder="1" applyFill="1" applyFont="1" applyNumberFormat="1">
      <alignment horizontal="left" readingOrder="0" vertical="center"/>
    </xf>
    <xf borderId="64" fillId="0" fontId="4" numFmtId="0" xfId="0" applyAlignment="1" applyBorder="1" applyFont="1">
      <alignment horizontal="left" readingOrder="0" shrinkToFit="0" vertical="center" wrapText="1"/>
    </xf>
    <xf borderId="65" fillId="0" fontId="4" numFmtId="0" xfId="0" applyAlignment="1" applyBorder="1" applyFont="1">
      <alignment horizontal="left" readingOrder="0" vertical="center"/>
    </xf>
    <xf borderId="66" fillId="0" fontId="4" numFmtId="0" xfId="0" applyAlignment="1" applyBorder="1" applyFont="1">
      <alignment horizontal="center" readingOrder="0" vertical="center"/>
    </xf>
    <xf borderId="67" fillId="0" fontId="4" numFmtId="0" xfId="0" applyAlignment="1" applyBorder="1" applyFont="1">
      <alignment horizontal="center" readingOrder="0" vertical="center"/>
    </xf>
    <xf borderId="68" fillId="17" fontId="4" numFmtId="0" xfId="0" applyAlignment="1" applyBorder="1" applyFill="1" applyFont="1">
      <alignment horizontal="center" vertical="center"/>
    </xf>
    <xf borderId="69" fillId="0" fontId="4" numFmtId="0" xfId="0" applyAlignment="1" applyBorder="1" applyFont="1">
      <alignment horizontal="left" readingOrder="0" vertical="center"/>
    </xf>
    <xf borderId="70" fillId="0" fontId="4" numFmtId="164" xfId="0" applyAlignment="1" applyBorder="1" applyFont="1" applyNumberFormat="1">
      <alignment horizontal="center" vertical="center"/>
    </xf>
    <xf borderId="71" fillId="0" fontId="4" numFmtId="164" xfId="0" applyAlignment="1" applyBorder="1" applyFont="1" applyNumberFormat="1">
      <alignment horizontal="center" vertical="center"/>
    </xf>
    <xf borderId="71" fillId="17" fontId="4" numFmtId="1" xfId="0" applyAlignment="1" applyBorder="1" applyFill="1" applyFont="1" applyNumberFormat="1">
      <alignment horizontal="center" vertical="center"/>
    </xf>
    <xf borderId="64" fillId="0" fontId="4" numFmtId="0" xfId="0" applyBorder="1" applyFont="1"/>
    <xf borderId="72" fillId="0" fontId="4" numFmtId="0" xfId="0" applyBorder="1" applyFont="1"/>
    <xf borderId="71" fillId="0" fontId="4" numFmtId="0" xfId="0" applyBorder="1" applyFont="1"/>
    <xf borderId="71" fillId="18" fontId="4" numFmtId="0" xfId="0" applyBorder="1" applyFill="1" applyFont="1"/>
    <xf borderId="73" fillId="0" fontId="4" numFmtId="0" xfId="0" applyBorder="1" applyFont="1"/>
    <xf borderId="71" fillId="19" fontId="4" numFmtId="0" xfId="0" applyBorder="1" applyFill="1" applyFont="1"/>
    <xf borderId="71" fillId="20" fontId="4" numFmtId="0" xfId="0" applyBorder="1" applyFill="1" applyFont="1"/>
    <xf borderId="71" fillId="21" fontId="4" numFmtId="0" xfId="0" applyBorder="1" applyFill="1" applyFont="1"/>
    <xf borderId="74" fillId="0" fontId="4" numFmtId="0" xfId="0" applyAlignment="1" applyBorder="1" applyFont="1">
      <alignment horizontal="left" readingOrder="0" vertical="center"/>
    </xf>
    <xf borderId="0" fillId="0" fontId="15" numFmtId="0" xfId="0" applyAlignment="1" applyFont="1">
      <alignment horizontal="center" vertical="center"/>
    </xf>
    <xf borderId="0" fillId="0" fontId="3" numFmtId="0" xfId="0" applyAlignment="1" applyFont="1">
      <alignment horizontal="right" vertical="center"/>
    </xf>
    <xf borderId="0" fillId="0" fontId="16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6" numFmtId="165" xfId="0" applyAlignment="1" applyFont="1" applyNumberFormat="1">
      <alignment horizontal="center" vertical="center"/>
    </xf>
    <xf borderId="5" fillId="3" fontId="10" numFmtId="0" xfId="0" applyAlignment="1" applyBorder="1" applyFill="1" applyFont="1">
      <alignment horizontal="right" vertical="center"/>
    </xf>
    <xf borderId="5" fillId="8" fontId="13" numFmtId="0" xfId="0" applyAlignment="1" applyBorder="1" applyFill="1" applyFont="1">
      <alignment horizontal="center" vertical="center"/>
    </xf>
    <xf borderId="75" fillId="22" fontId="13" numFmtId="0" xfId="0" applyAlignment="1" applyBorder="1" applyFill="1" applyFont="1">
      <alignment horizontal="left"/>
    </xf>
    <xf borderId="0" fillId="0" fontId="18" numFmtId="0" xfId="0" applyAlignment="1" applyFont="1">
      <alignment horizontal="left"/>
    </xf>
    <xf borderId="5" fillId="4" fontId="19" numFmtId="0" xfId="0" applyAlignment="1" applyBorder="1" applyFill="1" applyFont="1">
      <alignment horizontal="center" vertical="center"/>
    </xf>
    <xf borderId="5" fillId="4" fontId="19" numFmtId="1" xfId="0" applyAlignment="1" applyBorder="1" applyFill="1" applyFont="1" applyNumberFormat="1">
      <alignment horizontal="center" vertical="center"/>
    </xf>
    <xf borderId="42" fillId="22" fontId="13" numFmtId="0" xfId="0" applyAlignment="1" applyBorder="1" applyFill="1" applyFont="1">
      <alignment horizontal="left" vertical="top"/>
    </xf>
    <xf borderId="42" fillId="23" fontId="13" numFmtId="0" xfId="0" applyAlignment="1" applyBorder="1" applyFill="1" applyFont="1">
      <alignment horizontal="left" vertical="center"/>
    </xf>
    <xf borderId="0" fillId="0" fontId="18" numFmtId="0" xfId="0" applyAlignment="1" applyFont="1">
      <alignment horizontal="right"/>
    </xf>
    <xf borderId="5" fillId="0" fontId="20" numFmtId="0" xfId="0" applyAlignment="1" applyBorder="1" applyFont="1">
      <alignment horizontal="center" vertical="center"/>
    </xf>
    <xf borderId="44" fillId="23" fontId="13" numFmtId="0" xfId="0" applyAlignment="1" applyBorder="1" applyFill="1" applyFont="1">
      <alignment horizontal="left" vertical="center"/>
    </xf>
    <xf borderId="76" fillId="24" fontId="21" numFmtId="0" xfId="0" applyAlignment="1" applyBorder="1" applyFill="1" applyFont="1">
      <alignment horizontal="center" vertical="center"/>
    </xf>
    <xf borderId="77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v>HRS COMPLETED</c:v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entury Gothic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'Gantt Chart &amp; Burndown'!$M$46:$BT$46</c:f>
            </c:strRef>
          </c:cat>
          <c:val>
            <c:numRef>
              <c:f>'Gantt Chart &amp; Burndown'!$M$49:$BT$49</c:f>
              <c:numCache/>
            </c:numRef>
          </c:val>
        </c:ser>
        <c:axId val="1114159568"/>
        <c:axId val="64548758"/>
      </c:barChart>
      <c:lineChart>
        <c:ser>
          <c:idx val="1"/>
          <c:order val="1"/>
          <c:tx>
            <c:v>PLAN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'Gantt Chart &amp; Burndown'!$M$46:$BT$46</c:f>
            </c:strRef>
          </c:cat>
          <c:val>
            <c:numRef>
              <c:f>'Gantt Chart &amp; Burndown'!$M$47:$BT$47</c:f>
              <c:numCache/>
            </c:numRef>
          </c:val>
          <c:smooth val="0"/>
        </c:ser>
        <c:ser>
          <c:idx val="2"/>
          <c:order val="2"/>
          <c:tx>
            <c:v>ESTIMATE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'Gantt Chart &amp; Burndown'!$M$46:$BT$46</c:f>
            </c:strRef>
          </c:cat>
          <c:val>
            <c:numRef>
              <c:f>'Gantt Chart &amp; Burndown'!$M$48:$BT$48</c:f>
              <c:numCache/>
            </c:numRef>
          </c:val>
          <c:smooth val="0"/>
        </c:ser>
        <c:ser>
          <c:idx val="3"/>
          <c:order val="3"/>
          <c:tx>
            <c:v>HRS REMAINING</c:v>
          </c:tx>
          <c:spPr>
            <a:ln cmpd="sng" w="28575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'Gantt Chart &amp; Burndown'!$M$46:$BT$46</c:f>
            </c:strRef>
          </c:cat>
          <c:val>
            <c:numRef>
              <c:f>'Gantt Chart &amp; Burndown'!$M$50:$BT$50</c:f>
              <c:numCache/>
            </c:numRef>
          </c:val>
          <c:smooth val="0"/>
        </c:ser>
        <c:axId val="1114159568"/>
        <c:axId val="64548758"/>
      </c:lineChart>
      <c:catAx>
        <c:axId val="1114159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entury Gothic"/>
              </a:defRPr>
            </a:pPr>
          </a:p>
        </c:txPr>
        <c:crossAx val="64548758"/>
      </c:catAx>
      <c:valAx>
        <c:axId val="645487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entury Gothic"/>
              </a:defRPr>
            </a:pPr>
          </a:p>
        </c:txPr>
        <c:crossAx val="1114159568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entury Gothic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51</xdr:row>
      <xdr:rowOff>0</xdr:rowOff>
    </xdr:from>
    <xdr:ext cx="25146000" cy="7553325"/>
    <xdr:graphicFrame>
      <xdr:nvGraphicFramePr>
        <xdr:cNvPr id="202944797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IC-Office-Work-Schedule-Template16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Office Work Schedul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546A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.56"/>
    <col customWidth="1" min="2" max="2" width="8.11"/>
    <col customWidth="1" min="3" max="3" width="31.22"/>
    <col customWidth="1" min="4" max="4" width="17.11"/>
    <col customWidth="1" min="5" max="5" width="7.0"/>
    <col customWidth="1" min="6" max="6" width="8.44"/>
    <col customWidth="1" min="7" max="7" width="7.78"/>
    <col customWidth="1" min="8" max="8" width="7.0"/>
    <col customWidth="1" min="9" max="10" width="8.44"/>
    <col customWidth="1" min="11" max="11" width="7.56"/>
    <col customWidth="1" min="12" max="12" width="11.67"/>
    <col customWidth="1" min="13" max="72" width="3.0"/>
    <col customWidth="1" min="73" max="73" width="0.78"/>
    <col customWidth="1" min="74" max="74" width="6.56"/>
  </cols>
  <sheetData>
    <row r="1" ht="45.0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  <c r="K1" s="4"/>
      <c r="L1" s="4"/>
      <c r="M1" s="4"/>
      <c r="N1" s="4"/>
      <c r="O1" s="4"/>
      <c r="P1" s="4"/>
      <c r="BV1" s="5"/>
    </row>
    <row r="2" ht="34.5" customHeight="1">
      <c r="A2" s="5"/>
      <c r="B2" s="6" t="s">
        <v>1</v>
      </c>
      <c r="C2" s="7"/>
      <c r="D2" s="7"/>
      <c r="E2" s="7"/>
      <c r="F2" s="8"/>
      <c r="G2" s="7"/>
      <c r="H2" s="7"/>
      <c r="I2" s="7"/>
      <c r="J2" s="7"/>
      <c r="K2" s="7"/>
      <c r="L2" s="7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</row>
    <row r="3" ht="22.5" customHeight="1">
      <c r="B3" s="10"/>
      <c r="C3" s="10"/>
      <c r="D3" s="10"/>
      <c r="E3" s="10"/>
      <c r="F3" s="10"/>
      <c r="G3" s="10"/>
      <c r="H3" s="10"/>
      <c r="I3" s="10"/>
      <c r="J3" s="11"/>
      <c r="K3" s="12" t="s">
        <v>2</v>
      </c>
      <c r="L3" s="13" t="s">
        <v>3</v>
      </c>
      <c r="M3" s="14"/>
      <c r="N3" s="14"/>
      <c r="O3" s="14"/>
      <c r="P3" s="15"/>
      <c r="Q3" s="15"/>
      <c r="R3" s="16"/>
      <c r="S3" s="16"/>
      <c r="T3" s="16"/>
      <c r="U3" s="16"/>
      <c r="V3" s="17"/>
      <c r="W3" s="17"/>
      <c r="X3" s="17"/>
      <c r="Y3" s="16"/>
      <c r="Z3" s="16"/>
      <c r="AA3" s="16"/>
      <c r="AB3" s="16"/>
      <c r="AC3" s="16"/>
      <c r="AD3" s="16"/>
      <c r="AE3" s="17"/>
      <c r="AF3" s="17"/>
      <c r="AG3" s="17"/>
      <c r="AH3" s="16"/>
      <c r="AI3" s="16"/>
      <c r="AJ3" s="16"/>
      <c r="AK3" s="16"/>
      <c r="AL3" s="16"/>
      <c r="AM3" s="16"/>
      <c r="AN3" s="17"/>
      <c r="AO3" s="17"/>
      <c r="AP3" s="17"/>
      <c r="AQ3" s="16"/>
      <c r="AR3" s="16"/>
      <c r="AS3" s="16"/>
      <c r="AT3" s="16"/>
      <c r="AU3" s="16"/>
      <c r="AV3" s="16"/>
      <c r="AW3" s="17"/>
      <c r="AX3" s="17"/>
      <c r="AY3" s="17"/>
      <c r="AZ3" s="16"/>
      <c r="BA3" s="16"/>
      <c r="BB3" s="16"/>
      <c r="BC3" s="16"/>
      <c r="BD3" s="16"/>
      <c r="BE3" s="16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9"/>
      <c r="BU3" s="20"/>
      <c r="BV3" s="9"/>
    </row>
    <row r="4" ht="22.5" customHeight="1">
      <c r="B4" s="10"/>
      <c r="C4" s="10"/>
      <c r="D4" s="10"/>
      <c r="E4" s="10"/>
      <c r="F4" s="10"/>
      <c r="G4" s="10"/>
      <c r="H4" s="10"/>
      <c r="I4" s="10"/>
      <c r="J4" s="11"/>
      <c r="K4" s="21"/>
      <c r="L4" s="22" t="s">
        <v>4</v>
      </c>
      <c r="M4" s="17"/>
      <c r="N4" s="17"/>
      <c r="O4" s="17"/>
      <c r="P4" s="16"/>
      <c r="Q4" s="16"/>
      <c r="R4" s="23"/>
      <c r="S4" s="23"/>
      <c r="T4" s="23"/>
      <c r="U4" s="23"/>
      <c r="V4" s="24"/>
      <c r="W4" s="17"/>
      <c r="X4" s="17"/>
      <c r="Y4" s="16"/>
      <c r="Z4" s="16"/>
      <c r="AA4" s="16"/>
      <c r="AB4" s="16"/>
      <c r="AC4" s="16"/>
      <c r="AD4" s="16"/>
      <c r="AE4" s="17"/>
      <c r="AF4" s="17"/>
      <c r="AG4" s="17"/>
      <c r="AH4" s="16"/>
      <c r="AI4" s="16"/>
      <c r="AJ4" s="16"/>
      <c r="AK4" s="16"/>
      <c r="AL4" s="16"/>
      <c r="AM4" s="16"/>
      <c r="AN4" s="17"/>
      <c r="AO4" s="17"/>
      <c r="AP4" s="17"/>
      <c r="AQ4" s="16"/>
      <c r="AR4" s="16"/>
      <c r="AS4" s="16"/>
      <c r="AT4" s="16"/>
      <c r="AU4" s="16"/>
      <c r="AV4" s="16"/>
      <c r="AW4" s="17"/>
      <c r="AX4" s="17"/>
      <c r="AY4" s="17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25"/>
      <c r="BU4" s="20"/>
      <c r="BV4" s="9"/>
    </row>
    <row r="5" ht="22.5" customHeight="1">
      <c r="B5" s="8"/>
      <c r="C5" s="7"/>
      <c r="D5" s="7"/>
      <c r="E5" s="7"/>
      <c r="F5" s="7"/>
      <c r="G5" s="7"/>
      <c r="H5" s="7"/>
      <c r="I5" s="8"/>
      <c r="J5" s="7"/>
      <c r="K5" s="21"/>
      <c r="L5" s="26" t="s">
        <v>5</v>
      </c>
      <c r="M5" s="17"/>
      <c r="N5" s="17"/>
      <c r="O5" s="17"/>
      <c r="P5" s="16"/>
      <c r="Q5" s="16"/>
      <c r="R5" s="16"/>
      <c r="S5" s="16"/>
      <c r="T5" s="16"/>
      <c r="U5" s="16"/>
      <c r="V5" s="17"/>
      <c r="W5" s="27"/>
      <c r="X5" s="27"/>
      <c r="Y5" s="28"/>
      <c r="Z5" s="28"/>
      <c r="AA5" s="28"/>
      <c r="AB5" s="28"/>
      <c r="AC5" s="28"/>
      <c r="AD5" s="28"/>
      <c r="AE5" s="27"/>
      <c r="AF5" s="27"/>
      <c r="AG5" s="27"/>
      <c r="AH5" s="28"/>
      <c r="AI5" s="28"/>
      <c r="AJ5" s="16"/>
      <c r="AK5" s="16"/>
      <c r="AL5" s="16"/>
      <c r="AM5" s="16"/>
      <c r="AN5" s="17"/>
      <c r="AO5" s="17"/>
      <c r="AP5" s="17"/>
      <c r="AQ5" s="16"/>
      <c r="AR5" s="16"/>
      <c r="AS5" s="16"/>
      <c r="AT5" s="16"/>
      <c r="AU5" s="16"/>
      <c r="AV5" s="16"/>
      <c r="AW5" s="17"/>
      <c r="AX5" s="17"/>
      <c r="AY5" s="17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25"/>
      <c r="BU5" s="20"/>
      <c r="BV5" s="9"/>
    </row>
    <row r="6" ht="22.5" customHeight="1">
      <c r="B6" s="8"/>
      <c r="C6" s="7"/>
      <c r="D6" s="7"/>
      <c r="E6" s="7"/>
      <c r="F6" s="7"/>
      <c r="G6" s="7"/>
      <c r="H6" s="7"/>
      <c r="I6" s="8"/>
      <c r="J6" s="7"/>
      <c r="K6" s="21"/>
      <c r="L6" s="29" t="s">
        <v>6</v>
      </c>
      <c r="M6" s="17"/>
      <c r="N6" s="17"/>
      <c r="O6" s="17"/>
      <c r="P6" s="16"/>
      <c r="Q6" s="16"/>
      <c r="R6" s="16"/>
      <c r="S6" s="16"/>
      <c r="T6" s="16"/>
      <c r="U6" s="16"/>
      <c r="V6" s="17"/>
      <c r="W6" s="17"/>
      <c r="X6" s="17"/>
      <c r="Y6" s="16"/>
      <c r="Z6" s="16"/>
      <c r="AA6" s="16"/>
      <c r="AB6" s="16"/>
      <c r="AC6" s="16"/>
      <c r="AD6" s="16"/>
      <c r="AE6" s="17"/>
      <c r="AF6" s="17"/>
      <c r="AG6" s="17"/>
      <c r="AH6" s="16"/>
      <c r="AI6" s="16"/>
      <c r="AJ6" s="16"/>
      <c r="AK6" s="16"/>
      <c r="AL6" s="16"/>
      <c r="AM6" s="16"/>
      <c r="AN6" s="17"/>
      <c r="AO6" s="17"/>
      <c r="AP6" s="17"/>
      <c r="AQ6" s="16"/>
      <c r="AR6" s="16"/>
      <c r="AS6" s="16"/>
      <c r="AT6" s="16"/>
      <c r="AU6" s="16"/>
      <c r="AV6" s="16"/>
      <c r="AW6" s="17"/>
      <c r="AX6" s="17"/>
      <c r="AY6" s="17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25"/>
      <c r="BU6" s="20"/>
      <c r="BV6" s="9"/>
    </row>
    <row r="7" ht="22.5" customHeight="1">
      <c r="B7" s="8"/>
      <c r="C7" s="7"/>
      <c r="D7" s="7"/>
      <c r="E7" s="7"/>
      <c r="F7" s="7"/>
      <c r="G7" s="7"/>
      <c r="H7" s="7"/>
      <c r="I7" s="8"/>
      <c r="J7" s="7"/>
      <c r="K7" s="30"/>
      <c r="L7" s="31" t="s">
        <v>7</v>
      </c>
      <c r="M7" s="17"/>
      <c r="N7" s="17"/>
      <c r="O7" s="17"/>
      <c r="P7" s="16"/>
      <c r="Q7" s="16"/>
      <c r="R7" s="16"/>
      <c r="S7" s="16"/>
      <c r="T7" s="16"/>
      <c r="U7" s="16"/>
      <c r="V7" s="17"/>
      <c r="W7" s="17"/>
      <c r="X7" s="17"/>
      <c r="Y7" s="16"/>
      <c r="Z7" s="16"/>
      <c r="AA7" s="16"/>
      <c r="AB7" s="16"/>
      <c r="AC7" s="16"/>
      <c r="AD7" s="16"/>
      <c r="AE7" s="17"/>
      <c r="AF7" s="17"/>
      <c r="AG7" s="17"/>
      <c r="AH7" s="16"/>
      <c r="AI7" s="16"/>
      <c r="AJ7" s="16"/>
      <c r="AK7" s="16"/>
      <c r="AL7" s="16"/>
      <c r="AM7" s="16"/>
      <c r="AN7" s="17"/>
      <c r="AO7" s="17"/>
      <c r="AP7" s="17"/>
      <c r="AQ7" s="16"/>
      <c r="AR7" s="16"/>
      <c r="AS7" s="16"/>
      <c r="AT7" s="16"/>
      <c r="AU7" s="16"/>
      <c r="AV7" s="16"/>
      <c r="AW7" s="17"/>
      <c r="AX7" s="17"/>
      <c r="AY7" s="17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25"/>
      <c r="BU7" s="20"/>
      <c r="BV7" s="9"/>
    </row>
    <row r="8" ht="22.5" customHeight="1">
      <c r="B8" s="32" t="s">
        <v>8</v>
      </c>
      <c r="C8" s="33" t="s">
        <v>9</v>
      </c>
      <c r="D8" s="34" t="s">
        <v>10</v>
      </c>
      <c r="E8" s="35" t="s">
        <v>11</v>
      </c>
      <c r="F8" s="36"/>
      <c r="G8" s="37"/>
      <c r="H8" s="38" t="s">
        <v>12</v>
      </c>
      <c r="I8" s="39" t="s">
        <v>13</v>
      </c>
      <c r="J8" s="40" t="s">
        <v>14</v>
      </c>
      <c r="K8" s="41" t="s">
        <v>15</v>
      </c>
      <c r="L8" s="42" t="s">
        <v>16</v>
      </c>
      <c r="M8" s="43" t="s">
        <v>17</v>
      </c>
      <c r="N8" s="44"/>
      <c r="O8" s="44"/>
      <c r="P8" s="44"/>
      <c r="Q8" s="45"/>
      <c r="R8" s="46" t="s">
        <v>18</v>
      </c>
      <c r="S8" s="44"/>
      <c r="T8" s="44"/>
      <c r="U8" s="44"/>
      <c r="V8" s="45"/>
      <c r="W8" s="46" t="s">
        <v>19</v>
      </c>
      <c r="X8" s="44"/>
      <c r="Y8" s="44"/>
      <c r="Z8" s="44"/>
      <c r="AA8" s="47"/>
      <c r="AB8" s="48" t="s">
        <v>20</v>
      </c>
      <c r="AC8" s="44"/>
      <c r="AD8" s="44"/>
      <c r="AE8" s="44"/>
      <c r="AF8" s="45"/>
      <c r="AG8" s="49" t="s">
        <v>21</v>
      </c>
      <c r="AH8" s="44"/>
      <c r="AI8" s="44"/>
      <c r="AJ8" s="44"/>
      <c r="AK8" s="45"/>
      <c r="AL8" s="49" t="s">
        <v>22</v>
      </c>
      <c r="AM8" s="44"/>
      <c r="AN8" s="44"/>
      <c r="AO8" s="44"/>
      <c r="AP8" s="47"/>
      <c r="AQ8" s="50" t="s">
        <v>23</v>
      </c>
      <c r="AR8" s="44"/>
      <c r="AS8" s="44"/>
      <c r="AT8" s="44"/>
      <c r="AU8" s="45"/>
      <c r="AV8" s="51" t="s">
        <v>24</v>
      </c>
      <c r="AW8" s="44"/>
      <c r="AX8" s="44"/>
      <c r="AY8" s="44"/>
      <c r="AZ8" s="45"/>
      <c r="BA8" s="51" t="s">
        <v>25</v>
      </c>
      <c r="BB8" s="44"/>
      <c r="BC8" s="44"/>
      <c r="BD8" s="44"/>
      <c r="BE8" s="47"/>
      <c r="BF8" s="52" t="s">
        <v>26</v>
      </c>
      <c r="BG8" s="44"/>
      <c r="BH8" s="44"/>
      <c r="BI8" s="44"/>
      <c r="BJ8" s="45"/>
      <c r="BK8" s="53" t="s">
        <v>27</v>
      </c>
      <c r="BL8" s="44"/>
      <c r="BM8" s="44"/>
      <c r="BN8" s="44"/>
      <c r="BO8" s="45"/>
      <c r="BP8" s="53" t="s">
        <v>28</v>
      </c>
      <c r="BQ8" s="44"/>
      <c r="BR8" s="44"/>
      <c r="BS8" s="44"/>
      <c r="BT8" s="47"/>
      <c r="BU8" s="20"/>
      <c r="BV8" s="9"/>
    </row>
    <row r="9" ht="22.5" customHeight="1">
      <c r="B9" s="54"/>
      <c r="C9" s="55"/>
      <c r="D9" s="56"/>
      <c r="E9" s="57" t="s">
        <v>29</v>
      </c>
      <c r="F9" s="58" t="s">
        <v>30</v>
      </c>
      <c r="G9" s="59" t="s">
        <v>31</v>
      </c>
      <c r="H9" s="60"/>
      <c r="I9" s="61"/>
      <c r="J9" s="62"/>
      <c r="K9" s="62"/>
      <c r="L9" s="63"/>
      <c r="M9" s="64" t="s">
        <v>32</v>
      </c>
      <c r="N9" s="65" t="s">
        <v>33</v>
      </c>
      <c r="O9" s="65" t="s">
        <v>34</v>
      </c>
      <c r="P9" s="65" t="s">
        <v>35</v>
      </c>
      <c r="Q9" s="65" t="s">
        <v>36</v>
      </c>
      <c r="R9" s="65" t="s">
        <v>32</v>
      </c>
      <c r="S9" s="65" t="s">
        <v>33</v>
      </c>
      <c r="T9" s="65" t="s">
        <v>34</v>
      </c>
      <c r="U9" s="65" t="s">
        <v>35</v>
      </c>
      <c r="V9" s="65" t="s">
        <v>36</v>
      </c>
      <c r="W9" s="65" t="s">
        <v>32</v>
      </c>
      <c r="X9" s="65" t="s">
        <v>33</v>
      </c>
      <c r="Y9" s="65" t="s">
        <v>34</v>
      </c>
      <c r="Z9" s="65" t="s">
        <v>35</v>
      </c>
      <c r="AA9" s="66" t="s">
        <v>36</v>
      </c>
      <c r="AB9" s="67" t="s">
        <v>32</v>
      </c>
      <c r="AC9" s="68" t="s">
        <v>33</v>
      </c>
      <c r="AD9" s="68" t="s">
        <v>34</v>
      </c>
      <c r="AE9" s="68" t="s">
        <v>35</v>
      </c>
      <c r="AF9" s="68" t="s">
        <v>36</v>
      </c>
      <c r="AG9" s="68" t="s">
        <v>32</v>
      </c>
      <c r="AH9" s="68" t="s">
        <v>33</v>
      </c>
      <c r="AI9" s="68" t="s">
        <v>34</v>
      </c>
      <c r="AJ9" s="68" t="s">
        <v>35</v>
      </c>
      <c r="AK9" s="68" t="s">
        <v>36</v>
      </c>
      <c r="AL9" s="68" t="s">
        <v>32</v>
      </c>
      <c r="AM9" s="68" t="s">
        <v>33</v>
      </c>
      <c r="AN9" s="68" t="s">
        <v>34</v>
      </c>
      <c r="AO9" s="68" t="s">
        <v>35</v>
      </c>
      <c r="AP9" s="69" t="s">
        <v>36</v>
      </c>
      <c r="AQ9" s="70" t="s">
        <v>32</v>
      </c>
      <c r="AR9" s="71" t="s">
        <v>33</v>
      </c>
      <c r="AS9" s="71" t="s">
        <v>34</v>
      </c>
      <c r="AT9" s="71" t="s">
        <v>35</v>
      </c>
      <c r="AU9" s="71" t="s">
        <v>36</v>
      </c>
      <c r="AV9" s="71" t="s">
        <v>32</v>
      </c>
      <c r="AW9" s="71" t="s">
        <v>33</v>
      </c>
      <c r="AX9" s="71" t="s">
        <v>34</v>
      </c>
      <c r="AY9" s="71" t="s">
        <v>35</v>
      </c>
      <c r="AZ9" s="71" t="s">
        <v>36</v>
      </c>
      <c r="BA9" s="71" t="s">
        <v>32</v>
      </c>
      <c r="BB9" s="71" t="s">
        <v>33</v>
      </c>
      <c r="BC9" s="71" t="s">
        <v>34</v>
      </c>
      <c r="BD9" s="71" t="s">
        <v>35</v>
      </c>
      <c r="BE9" s="72" t="s">
        <v>36</v>
      </c>
      <c r="BF9" s="73" t="s">
        <v>32</v>
      </c>
      <c r="BG9" s="74" t="s">
        <v>33</v>
      </c>
      <c r="BH9" s="74" t="s">
        <v>34</v>
      </c>
      <c r="BI9" s="74" t="s">
        <v>35</v>
      </c>
      <c r="BJ9" s="74" t="s">
        <v>36</v>
      </c>
      <c r="BK9" s="74" t="s">
        <v>32</v>
      </c>
      <c r="BL9" s="74" t="s">
        <v>33</v>
      </c>
      <c r="BM9" s="74" t="s">
        <v>34</v>
      </c>
      <c r="BN9" s="74" t="s">
        <v>35</v>
      </c>
      <c r="BO9" s="74" t="s">
        <v>36</v>
      </c>
      <c r="BP9" s="74" t="s">
        <v>32</v>
      </c>
      <c r="BQ9" s="74" t="s">
        <v>33</v>
      </c>
      <c r="BR9" s="74" t="s">
        <v>34</v>
      </c>
      <c r="BS9" s="74" t="s">
        <v>35</v>
      </c>
      <c r="BT9" s="75" t="s">
        <v>36</v>
      </c>
      <c r="BU9" s="20"/>
      <c r="BV9" s="9"/>
    </row>
    <row r="10" ht="22.5" customHeight="1">
      <c r="B10" s="76">
        <v>1.0</v>
      </c>
      <c r="C10" s="77" t="s">
        <v>37</v>
      </c>
      <c r="D10" s="78"/>
      <c r="E10" s="79">
        <f t="shared" ref="E10:G10" si="1">SUM(E11:E14)</f>
        <v>5</v>
      </c>
      <c r="F10" s="80">
        <f t="shared" si="1"/>
        <v>5</v>
      </c>
      <c r="G10" s="81">
        <f t="shared" si="1"/>
        <v>0</v>
      </c>
      <c r="H10" s="82"/>
      <c r="I10" s="83"/>
      <c r="J10" s="84"/>
      <c r="K10" s="85"/>
      <c r="L10" s="86">
        <f t="shared" ref="L10:L44" si="2">IFERROR(F10/E10,"")</f>
        <v>1</v>
      </c>
      <c r="M10" s="87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9"/>
      <c r="AB10" s="87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87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89"/>
      <c r="BF10" s="87"/>
      <c r="BG10" s="88"/>
      <c r="BH10" s="88"/>
      <c r="BI10" s="88"/>
      <c r="BJ10" s="88"/>
      <c r="BK10" s="88"/>
      <c r="BL10" s="88"/>
      <c r="BM10" s="88"/>
      <c r="BN10" s="88"/>
      <c r="BO10" s="88"/>
      <c r="BP10" s="88"/>
      <c r="BQ10" s="88"/>
      <c r="BR10" s="88"/>
      <c r="BS10" s="88"/>
      <c r="BT10" s="89"/>
      <c r="BU10" s="20"/>
      <c r="BV10" s="9"/>
    </row>
    <row r="11" ht="22.5" customHeight="1">
      <c r="B11" s="90">
        <v>1.1</v>
      </c>
      <c r="C11" s="91" t="s">
        <v>38</v>
      </c>
      <c r="D11" s="92" t="s">
        <v>39</v>
      </c>
      <c r="E11" s="93">
        <v>0.5</v>
      </c>
      <c r="F11" s="94">
        <v>0.5</v>
      </c>
      <c r="G11" s="95">
        <f t="shared" ref="G11:G14" si="3">E11-F11</f>
        <v>0</v>
      </c>
      <c r="H11" s="96">
        <v>1.0</v>
      </c>
      <c r="I11" s="97"/>
      <c r="J11" s="98"/>
      <c r="K11" s="99">
        <f t="shared" ref="K11:K12" si="4">J11-I11+1</f>
        <v>1</v>
      </c>
      <c r="L11" s="100">
        <f t="shared" si="2"/>
        <v>1</v>
      </c>
      <c r="M11" s="101"/>
      <c r="N11" s="102"/>
      <c r="O11" s="103"/>
      <c r="P11" s="103"/>
      <c r="Q11" s="103"/>
      <c r="R11" s="104"/>
      <c r="S11" s="104"/>
      <c r="T11" s="104"/>
      <c r="U11" s="104"/>
      <c r="V11" s="104"/>
      <c r="W11" s="103"/>
      <c r="X11" s="103"/>
      <c r="Y11" s="103"/>
      <c r="Z11" s="103"/>
      <c r="AA11" s="105"/>
      <c r="AB11" s="101"/>
      <c r="AC11" s="103"/>
      <c r="AD11" s="103"/>
      <c r="AE11" s="103"/>
      <c r="AF11" s="103"/>
      <c r="AG11" s="106"/>
      <c r="AH11" s="106"/>
      <c r="AI11" s="106"/>
      <c r="AJ11" s="106"/>
      <c r="AK11" s="106"/>
      <c r="AL11" s="103"/>
      <c r="AM11" s="103"/>
      <c r="AN11" s="103"/>
      <c r="AO11" s="103"/>
      <c r="AP11" s="105"/>
      <c r="AQ11" s="101"/>
      <c r="AR11" s="103"/>
      <c r="AS11" s="103"/>
      <c r="AT11" s="103"/>
      <c r="AU11" s="103"/>
      <c r="AV11" s="107"/>
      <c r="AW11" s="107"/>
      <c r="AX11" s="107"/>
      <c r="AY11" s="107"/>
      <c r="AZ11" s="107"/>
      <c r="BA11" s="103"/>
      <c r="BB11" s="103"/>
      <c r="BC11" s="103"/>
      <c r="BD11" s="103"/>
      <c r="BE11" s="105"/>
      <c r="BF11" s="101"/>
      <c r="BG11" s="103"/>
      <c r="BH11" s="103"/>
      <c r="BI11" s="103"/>
      <c r="BJ11" s="103"/>
      <c r="BK11" s="108"/>
      <c r="BL11" s="108"/>
      <c r="BM11" s="108"/>
      <c r="BN11" s="108"/>
      <c r="BO11" s="108"/>
      <c r="BP11" s="103"/>
      <c r="BQ11" s="103"/>
      <c r="BR11" s="103"/>
      <c r="BS11" s="103"/>
      <c r="BT11" s="105"/>
      <c r="BU11" s="20"/>
      <c r="BV11" s="9"/>
    </row>
    <row r="12" ht="27.0" customHeight="1">
      <c r="B12" s="109" t="s">
        <v>40</v>
      </c>
      <c r="C12" s="91" t="s">
        <v>41</v>
      </c>
      <c r="D12" s="92" t="s">
        <v>42</v>
      </c>
      <c r="E12" s="93">
        <v>1.0</v>
      </c>
      <c r="F12" s="94">
        <v>1.0</v>
      </c>
      <c r="G12" s="95">
        <f t="shared" si="3"/>
        <v>0</v>
      </c>
      <c r="H12" s="96">
        <v>1.0</v>
      </c>
      <c r="I12" s="97"/>
      <c r="J12" s="98"/>
      <c r="K12" s="99">
        <f t="shared" si="4"/>
        <v>1</v>
      </c>
      <c r="L12" s="100">
        <f t="shared" si="2"/>
        <v>1</v>
      </c>
      <c r="M12" s="101"/>
      <c r="N12" s="103"/>
      <c r="O12" s="103"/>
      <c r="P12" s="102"/>
      <c r="Q12" s="103"/>
      <c r="R12" s="104"/>
      <c r="S12" s="104"/>
      <c r="T12" s="104"/>
      <c r="U12" s="104"/>
      <c r="V12" s="104"/>
      <c r="W12" s="103"/>
      <c r="X12" s="103"/>
      <c r="Y12" s="103"/>
      <c r="Z12" s="103"/>
      <c r="AA12" s="103"/>
      <c r="AB12" s="101"/>
      <c r="AC12" s="103"/>
      <c r="AD12" s="103"/>
      <c r="AE12" s="103"/>
      <c r="AF12" s="103"/>
      <c r="AG12" s="106"/>
      <c r="AH12" s="106"/>
      <c r="AI12" s="106"/>
      <c r="AJ12" s="106"/>
      <c r="AK12" s="106"/>
      <c r="AL12" s="103"/>
      <c r="AM12" s="103"/>
      <c r="AN12" s="103"/>
      <c r="AO12" s="103"/>
      <c r="AP12" s="105"/>
      <c r="AQ12" s="101"/>
      <c r="AR12" s="103"/>
      <c r="AS12" s="103"/>
      <c r="AT12" s="103"/>
      <c r="AU12" s="103"/>
      <c r="AV12" s="107"/>
      <c r="AW12" s="107"/>
      <c r="AX12" s="107"/>
      <c r="AY12" s="107"/>
      <c r="AZ12" s="107"/>
      <c r="BA12" s="103"/>
      <c r="BB12" s="103"/>
      <c r="BC12" s="103"/>
      <c r="BD12" s="103"/>
      <c r="BE12" s="105"/>
      <c r="BF12" s="101"/>
      <c r="BG12" s="103"/>
      <c r="BH12" s="103"/>
      <c r="BI12" s="103"/>
      <c r="BJ12" s="103"/>
      <c r="BK12" s="108"/>
      <c r="BL12" s="108"/>
      <c r="BM12" s="108"/>
      <c r="BN12" s="108"/>
      <c r="BO12" s="108"/>
      <c r="BP12" s="103"/>
      <c r="BQ12" s="103"/>
      <c r="BR12" s="103"/>
      <c r="BS12" s="103"/>
      <c r="BT12" s="105"/>
      <c r="BU12" s="20"/>
      <c r="BV12" s="9"/>
    </row>
    <row r="13" ht="24.75" customHeight="1">
      <c r="B13" s="109" t="s">
        <v>43</v>
      </c>
      <c r="C13" s="91" t="s">
        <v>44</v>
      </c>
      <c r="D13" s="92" t="s">
        <v>42</v>
      </c>
      <c r="E13" s="93">
        <v>0.5</v>
      </c>
      <c r="F13" s="94">
        <v>0.5</v>
      </c>
      <c r="G13" s="95">
        <f t="shared" si="3"/>
        <v>0</v>
      </c>
      <c r="H13" s="96">
        <v>1.0</v>
      </c>
      <c r="I13" s="97"/>
      <c r="J13" s="98"/>
      <c r="K13" s="99"/>
      <c r="L13" s="100">
        <f t="shared" si="2"/>
        <v>1</v>
      </c>
      <c r="M13" s="101"/>
      <c r="N13" s="103"/>
      <c r="O13" s="103"/>
      <c r="P13" s="102"/>
      <c r="Q13" s="102"/>
      <c r="R13" s="104"/>
      <c r="S13" s="104"/>
      <c r="T13" s="104"/>
      <c r="U13" s="104"/>
      <c r="V13" s="104"/>
      <c r="W13" s="103"/>
      <c r="X13" s="103"/>
      <c r="Y13" s="103"/>
      <c r="Z13" s="103"/>
      <c r="AA13" s="103"/>
      <c r="AB13" s="101"/>
      <c r="AC13" s="103"/>
      <c r="AD13" s="103"/>
      <c r="AE13" s="103"/>
      <c r="AF13" s="103"/>
      <c r="AG13" s="106"/>
      <c r="AH13" s="106"/>
      <c r="AI13" s="106"/>
      <c r="AJ13" s="106"/>
      <c r="AK13" s="106"/>
      <c r="AL13" s="103"/>
      <c r="AM13" s="103"/>
      <c r="AN13" s="103"/>
      <c r="AO13" s="103"/>
      <c r="AP13" s="105"/>
      <c r="AQ13" s="101"/>
      <c r="AR13" s="103"/>
      <c r="AS13" s="103"/>
      <c r="AT13" s="103"/>
      <c r="AU13" s="103"/>
      <c r="AV13" s="107"/>
      <c r="AW13" s="107"/>
      <c r="AX13" s="107"/>
      <c r="AY13" s="107"/>
      <c r="AZ13" s="107"/>
      <c r="BA13" s="103"/>
      <c r="BB13" s="103"/>
      <c r="BC13" s="103"/>
      <c r="BD13" s="103"/>
      <c r="BE13" s="105"/>
      <c r="BF13" s="101"/>
      <c r="BG13" s="103"/>
      <c r="BH13" s="103"/>
      <c r="BI13" s="103"/>
      <c r="BJ13" s="103"/>
      <c r="BK13" s="108"/>
      <c r="BL13" s="108"/>
      <c r="BM13" s="108"/>
      <c r="BN13" s="108"/>
      <c r="BO13" s="108"/>
      <c r="BP13" s="103"/>
      <c r="BQ13" s="103"/>
      <c r="BR13" s="103"/>
      <c r="BS13" s="103"/>
      <c r="BT13" s="105"/>
      <c r="BU13" s="20"/>
      <c r="BV13" s="9"/>
    </row>
    <row r="14" ht="29.25" customHeight="1">
      <c r="B14" s="109" t="s">
        <v>43</v>
      </c>
      <c r="C14" s="91" t="s">
        <v>45</v>
      </c>
      <c r="D14" s="92" t="s">
        <v>46</v>
      </c>
      <c r="E14" s="93">
        <v>3.0</v>
      </c>
      <c r="F14" s="94">
        <v>3.0</v>
      </c>
      <c r="G14" s="95">
        <f t="shared" si="3"/>
        <v>0</v>
      </c>
      <c r="H14" s="96">
        <v>1.0</v>
      </c>
      <c r="I14" s="97"/>
      <c r="J14" s="98"/>
      <c r="K14" s="99">
        <f>J14-I14+1</f>
        <v>1</v>
      </c>
      <c r="L14" s="100">
        <f t="shared" si="2"/>
        <v>1</v>
      </c>
      <c r="M14" s="101"/>
      <c r="N14" s="103"/>
      <c r="O14" s="103"/>
      <c r="P14" s="102"/>
      <c r="Q14" s="102"/>
      <c r="R14" s="104"/>
      <c r="S14" s="104"/>
      <c r="T14" s="104"/>
      <c r="U14" s="104"/>
      <c r="V14" s="104"/>
      <c r="W14" s="103"/>
      <c r="X14" s="103"/>
      <c r="Y14" s="103"/>
      <c r="Z14" s="103"/>
      <c r="AA14" s="103"/>
      <c r="AB14" s="101"/>
      <c r="AC14" s="103"/>
      <c r="AD14" s="103"/>
      <c r="AE14" s="103"/>
      <c r="AF14" s="103"/>
      <c r="AG14" s="106"/>
      <c r="AH14" s="106"/>
      <c r="AI14" s="106"/>
      <c r="AJ14" s="106"/>
      <c r="AK14" s="106"/>
      <c r="AL14" s="103"/>
      <c r="AM14" s="103"/>
      <c r="AN14" s="103"/>
      <c r="AO14" s="103"/>
      <c r="AP14" s="105"/>
      <c r="AQ14" s="101"/>
      <c r="AR14" s="103"/>
      <c r="AS14" s="103"/>
      <c r="AT14" s="103"/>
      <c r="AU14" s="103"/>
      <c r="AV14" s="107"/>
      <c r="AW14" s="107"/>
      <c r="AX14" s="107"/>
      <c r="AY14" s="107"/>
      <c r="AZ14" s="107"/>
      <c r="BA14" s="103"/>
      <c r="BB14" s="103"/>
      <c r="BC14" s="103"/>
      <c r="BD14" s="103"/>
      <c r="BE14" s="105"/>
      <c r="BF14" s="101"/>
      <c r="BG14" s="103"/>
      <c r="BH14" s="103"/>
      <c r="BI14" s="103"/>
      <c r="BJ14" s="103"/>
      <c r="BK14" s="108"/>
      <c r="BL14" s="108"/>
      <c r="BM14" s="108"/>
      <c r="BN14" s="108"/>
      <c r="BO14" s="108"/>
      <c r="BP14" s="103"/>
      <c r="BQ14" s="103"/>
      <c r="BR14" s="103"/>
      <c r="BS14" s="103"/>
      <c r="BT14" s="105"/>
      <c r="BU14" s="20"/>
      <c r="BV14" s="9"/>
    </row>
    <row r="15" ht="22.5" customHeight="1">
      <c r="B15" s="90">
        <v>2.0</v>
      </c>
      <c r="C15" s="110" t="s">
        <v>47</v>
      </c>
      <c r="D15" s="111"/>
      <c r="E15" s="79">
        <f t="shared" ref="E15:G15" si="5">SUM(E20:E21)</f>
        <v>2.5</v>
      </c>
      <c r="F15" s="80">
        <f t="shared" si="5"/>
        <v>2.5</v>
      </c>
      <c r="G15" s="81">
        <f t="shared" si="5"/>
        <v>0</v>
      </c>
      <c r="H15" s="112"/>
      <c r="I15" s="113"/>
      <c r="J15" s="114"/>
      <c r="K15" s="115"/>
      <c r="L15" s="86">
        <f t="shared" si="2"/>
        <v>1</v>
      </c>
      <c r="M15" s="87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9"/>
      <c r="AB15" s="87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87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9"/>
      <c r="BF15" s="87"/>
      <c r="BG15" s="88"/>
      <c r="BH15" s="88"/>
      <c r="BI15" s="88"/>
      <c r="BJ15" s="88"/>
      <c r="BK15" s="88"/>
      <c r="BL15" s="88"/>
      <c r="BM15" s="88"/>
      <c r="BN15" s="88"/>
      <c r="BO15" s="88"/>
      <c r="BP15" s="88"/>
      <c r="BQ15" s="88"/>
      <c r="BR15" s="88"/>
      <c r="BS15" s="88"/>
      <c r="BT15" s="89"/>
      <c r="BU15" s="20"/>
      <c r="BV15" s="9"/>
    </row>
    <row r="16" ht="22.5" customHeight="1">
      <c r="B16" s="109" t="s">
        <v>48</v>
      </c>
      <c r="C16" s="91" t="s">
        <v>49</v>
      </c>
      <c r="D16" s="92" t="s">
        <v>39</v>
      </c>
      <c r="E16" s="93">
        <v>0.5</v>
      </c>
      <c r="F16" s="94">
        <v>0.5</v>
      </c>
      <c r="G16" s="95">
        <f t="shared" ref="G16:G21" si="6">E16-F16</f>
        <v>0</v>
      </c>
      <c r="H16" s="96">
        <v>1.0</v>
      </c>
      <c r="I16" s="97"/>
      <c r="J16" s="98"/>
      <c r="K16" s="99"/>
      <c r="L16" s="100">
        <f t="shared" si="2"/>
        <v>1</v>
      </c>
      <c r="M16" s="101"/>
      <c r="N16" s="103"/>
      <c r="O16" s="103"/>
      <c r="P16" s="103"/>
      <c r="Q16" s="103"/>
      <c r="R16" s="104"/>
      <c r="S16" s="102"/>
      <c r="T16" s="104"/>
      <c r="U16" s="104"/>
      <c r="V16" s="104"/>
      <c r="W16" s="103"/>
      <c r="X16" s="103"/>
      <c r="Y16" s="103"/>
      <c r="Z16" s="103"/>
      <c r="AA16" s="105"/>
      <c r="AB16" s="116"/>
      <c r="AC16" s="117"/>
      <c r="AD16" s="118"/>
      <c r="AE16" s="119"/>
      <c r="AF16" s="119"/>
      <c r="AG16" s="106"/>
      <c r="AH16" s="106"/>
      <c r="AI16" s="106"/>
      <c r="AJ16" s="106"/>
      <c r="AK16" s="106"/>
      <c r="AL16" s="103"/>
      <c r="AM16" s="103"/>
      <c r="AN16" s="103"/>
      <c r="AO16" s="103"/>
      <c r="AP16" s="105"/>
      <c r="AQ16" s="101"/>
      <c r="AR16" s="103"/>
      <c r="AS16" s="103"/>
      <c r="AT16" s="103"/>
      <c r="AU16" s="103"/>
      <c r="AV16" s="107"/>
      <c r="AW16" s="107"/>
      <c r="AX16" s="107"/>
      <c r="AY16" s="107"/>
      <c r="AZ16" s="107"/>
      <c r="BA16" s="103"/>
      <c r="BB16" s="103"/>
      <c r="BC16" s="103"/>
      <c r="BD16" s="103"/>
      <c r="BE16" s="105"/>
      <c r="BF16" s="101"/>
      <c r="BG16" s="103"/>
      <c r="BH16" s="103"/>
      <c r="BI16" s="103"/>
      <c r="BJ16" s="103"/>
      <c r="BK16" s="108"/>
      <c r="BL16" s="108"/>
      <c r="BM16" s="108"/>
      <c r="BN16" s="108"/>
      <c r="BO16" s="108"/>
      <c r="BP16" s="103"/>
      <c r="BQ16" s="103"/>
      <c r="BR16" s="103"/>
      <c r="BS16" s="103"/>
      <c r="BT16" s="105"/>
      <c r="BU16" s="20"/>
      <c r="BV16" s="9"/>
    </row>
    <row r="17" ht="29.25" customHeight="1">
      <c r="B17" s="109" t="s">
        <v>50</v>
      </c>
      <c r="C17" s="91" t="s">
        <v>51</v>
      </c>
      <c r="D17" s="92" t="s">
        <v>39</v>
      </c>
      <c r="E17" s="93">
        <v>3.0</v>
      </c>
      <c r="F17" s="94">
        <v>3.0</v>
      </c>
      <c r="G17" s="95">
        <f t="shared" si="6"/>
        <v>0</v>
      </c>
      <c r="H17" s="96">
        <v>1.0</v>
      </c>
      <c r="I17" s="97"/>
      <c r="J17" s="98"/>
      <c r="K17" s="99"/>
      <c r="L17" s="100">
        <f t="shared" si="2"/>
        <v>1</v>
      </c>
      <c r="M17" s="101"/>
      <c r="N17" s="103"/>
      <c r="O17" s="103"/>
      <c r="P17" s="103"/>
      <c r="Q17" s="103"/>
      <c r="R17" s="104"/>
      <c r="S17" s="102"/>
      <c r="T17" s="104"/>
      <c r="U17" s="104"/>
      <c r="V17" s="104"/>
      <c r="W17" s="103"/>
      <c r="X17" s="103"/>
      <c r="Y17" s="103"/>
      <c r="Z17" s="103"/>
      <c r="AA17" s="105"/>
      <c r="AB17" s="116"/>
      <c r="AC17" s="117"/>
      <c r="AD17" s="118"/>
      <c r="AE17" s="119"/>
      <c r="AF17" s="119"/>
      <c r="AG17" s="106"/>
      <c r="AH17" s="106"/>
      <c r="AI17" s="106"/>
      <c r="AJ17" s="106"/>
      <c r="AK17" s="106"/>
      <c r="AL17" s="103"/>
      <c r="AM17" s="103"/>
      <c r="AN17" s="103"/>
      <c r="AO17" s="103"/>
      <c r="AP17" s="105"/>
      <c r="AQ17" s="101"/>
      <c r="AR17" s="103"/>
      <c r="AS17" s="103"/>
      <c r="AT17" s="103"/>
      <c r="AU17" s="103"/>
      <c r="AV17" s="107"/>
      <c r="AW17" s="107"/>
      <c r="AX17" s="107"/>
      <c r="AY17" s="107"/>
      <c r="AZ17" s="107"/>
      <c r="BA17" s="103"/>
      <c r="BB17" s="103"/>
      <c r="BC17" s="103"/>
      <c r="BD17" s="103"/>
      <c r="BE17" s="105"/>
      <c r="BF17" s="101"/>
      <c r="BG17" s="103"/>
      <c r="BH17" s="103"/>
      <c r="BI17" s="103"/>
      <c r="BJ17" s="103"/>
      <c r="BK17" s="108"/>
      <c r="BL17" s="108"/>
      <c r="BM17" s="108"/>
      <c r="BN17" s="108"/>
      <c r="BO17" s="108"/>
      <c r="BP17" s="103"/>
      <c r="BQ17" s="103"/>
      <c r="BR17" s="103"/>
      <c r="BS17" s="103"/>
      <c r="BT17" s="105"/>
      <c r="BU17" s="20"/>
      <c r="BV17" s="9"/>
    </row>
    <row r="18" ht="29.25" customHeight="1">
      <c r="B18" s="109" t="s">
        <v>52</v>
      </c>
      <c r="C18" s="91" t="s">
        <v>53</v>
      </c>
      <c r="D18" s="92" t="s">
        <v>46</v>
      </c>
      <c r="E18" s="93">
        <v>1.5</v>
      </c>
      <c r="F18" s="94">
        <v>1.5</v>
      </c>
      <c r="G18" s="95">
        <f t="shared" si="6"/>
        <v>0</v>
      </c>
      <c r="H18" s="96">
        <v>1.0</v>
      </c>
      <c r="I18" s="97"/>
      <c r="J18" s="98"/>
      <c r="K18" s="99"/>
      <c r="L18" s="100">
        <f t="shared" si="2"/>
        <v>1</v>
      </c>
      <c r="M18" s="101"/>
      <c r="N18" s="103"/>
      <c r="O18" s="103"/>
      <c r="P18" s="103"/>
      <c r="Q18" s="103"/>
      <c r="R18" s="104"/>
      <c r="S18" s="104"/>
      <c r="T18" s="102"/>
      <c r="U18" s="104"/>
      <c r="V18" s="104"/>
      <c r="W18" s="103"/>
      <c r="X18" s="103"/>
      <c r="Y18" s="103"/>
      <c r="Z18" s="103"/>
      <c r="AA18" s="105"/>
      <c r="AB18" s="116"/>
      <c r="AC18" s="117"/>
      <c r="AD18" s="118"/>
      <c r="AE18" s="119"/>
      <c r="AF18" s="119"/>
      <c r="AG18" s="106"/>
      <c r="AH18" s="106"/>
      <c r="AI18" s="106"/>
      <c r="AJ18" s="106"/>
      <c r="AK18" s="106"/>
      <c r="AL18" s="103"/>
      <c r="AM18" s="103"/>
      <c r="AN18" s="103"/>
      <c r="AO18" s="103"/>
      <c r="AP18" s="105"/>
      <c r="AQ18" s="101"/>
      <c r="AR18" s="103"/>
      <c r="AS18" s="103"/>
      <c r="AT18" s="103"/>
      <c r="AU18" s="103"/>
      <c r="AV18" s="107"/>
      <c r="AW18" s="107"/>
      <c r="AX18" s="107"/>
      <c r="AY18" s="107"/>
      <c r="AZ18" s="107"/>
      <c r="BA18" s="103"/>
      <c r="BB18" s="103"/>
      <c r="BC18" s="103"/>
      <c r="BD18" s="103"/>
      <c r="BE18" s="105"/>
      <c r="BF18" s="101"/>
      <c r="BG18" s="103"/>
      <c r="BH18" s="103"/>
      <c r="BI18" s="103"/>
      <c r="BJ18" s="103"/>
      <c r="BK18" s="108"/>
      <c r="BL18" s="108"/>
      <c r="BM18" s="108"/>
      <c r="BN18" s="108"/>
      <c r="BO18" s="108"/>
      <c r="BP18" s="103"/>
      <c r="BQ18" s="103"/>
      <c r="BR18" s="103"/>
      <c r="BS18" s="103"/>
      <c r="BT18" s="105"/>
      <c r="BU18" s="20"/>
      <c r="BV18" s="9"/>
    </row>
    <row r="19" ht="22.5" customHeight="1">
      <c r="B19" s="109" t="s">
        <v>54</v>
      </c>
      <c r="C19" s="91" t="s">
        <v>55</v>
      </c>
      <c r="D19" s="92" t="s">
        <v>42</v>
      </c>
      <c r="E19" s="93">
        <v>1.5</v>
      </c>
      <c r="F19" s="94">
        <v>1.5</v>
      </c>
      <c r="G19" s="95">
        <f t="shared" si="6"/>
        <v>0</v>
      </c>
      <c r="H19" s="96">
        <v>2.0</v>
      </c>
      <c r="I19" s="97"/>
      <c r="J19" s="98"/>
      <c r="K19" s="99"/>
      <c r="L19" s="100">
        <f t="shared" si="2"/>
        <v>1</v>
      </c>
      <c r="M19" s="101"/>
      <c r="N19" s="103"/>
      <c r="O19" s="103"/>
      <c r="P19" s="103"/>
      <c r="Q19" s="103"/>
      <c r="R19" s="104"/>
      <c r="S19" s="104"/>
      <c r="T19" s="104"/>
      <c r="U19" s="102"/>
      <c r="V19" s="104"/>
      <c r="W19" s="103"/>
      <c r="X19" s="103"/>
      <c r="Y19" s="103"/>
      <c r="Z19" s="103"/>
      <c r="AA19" s="105"/>
      <c r="AB19" s="116"/>
      <c r="AC19" s="117"/>
      <c r="AD19" s="118"/>
      <c r="AE19" s="119"/>
      <c r="AF19" s="119"/>
      <c r="AG19" s="106"/>
      <c r="AH19" s="106"/>
      <c r="AI19" s="106"/>
      <c r="AJ19" s="106"/>
      <c r="AK19" s="106"/>
      <c r="AL19" s="103"/>
      <c r="AM19" s="103"/>
      <c r="AN19" s="103"/>
      <c r="AO19" s="103"/>
      <c r="AP19" s="105"/>
      <c r="AQ19" s="101"/>
      <c r="AR19" s="103"/>
      <c r="AS19" s="103"/>
      <c r="AT19" s="103"/>
      <c r="AU19" s="103"/>
      <c r="AV19" s="107"/>
      <c r="AW19" s="107"/>
      <c r="AX19" s="107"/>
      <c r="AY19" s="107"/>
      <c r="AZ19" s="107"/>
      <c r="BA19" s="103"/>
      <c r="BB19" s="103"/>
      <c r="BC19" s="103"/>
      <c r="BD19" s="103"/>
      <c r="BE19" s="105"/>
      <c r="BF19" s="101"/>
      <c r="BG19" s="103"/>
      <c r="BH19" s="103"/>
      <c r="BI19" s="103"/>
      <c r="BJ19" s="103"/>
      <c r="BK19" s="108"/>
      <c r="BL19" s="108"/>
      <c r="BM19" s="108"/>
      <c r="BN19" s="108"/>
      <c r="BO19" s="108"/>
      <c r="BP19" s="103"/>
      <c r="BQ19" s="103"/>
      <c r="BR19" s="103"/>
      <c r="BS19" s="103"/>
      <c r="BT19" s="105"/>
      <c r="BU19" s="20"/>
      <c r="BV19" s="9"/>
    </row>
    <row r="20" ht="26.25" customHeight="1">
      <c r="B20" s="109" t="s">
        <v>56</v>
      </c>
      <c r="C20" s="91" t="s">
        <v>57</v>
      </c>
      <c r="D20" s="92" t="s">
        <v>39</v>
      </c>
      <c r="E20" s="93">
        <v>1.0</v>
      </c>
      <c r="F20" s="94">
        <v>1.0</v>
      </c>
      <c r="G20" s="95">
        <f t="shared" si="6"/>
        <v>0</v>
      </c>
      <c r="H20" s="96">
        <v>2.0</v>
      </c>
      <c r="I20" s="97"/>
      <c r="J20" s="98"/>
      <c r="K20" s="99">
        <f t="shared" ref="K20:K21" si="7">J20-I20+1</f>
        <v>1</v>
      </c>
      <c r="L20" s="100">
        <f t="shared" si="2"/>
        <v>1</v>
      </c>
      <c r="M20" s="101"/>
      <c r="N20" s="103"/>
      <c r="O20" s="103"/>
      <c r="P20" s="103"/>
      <c r="Q20" s="103"/>
      <c r="R20" s="104"/>
      <c r="S20" s="104"/>
      <c r="T20" s="104"/>
      <c r="U20" s="102"/>
      <c r="V20" s="102"/>
      <c r="W20" s="103"/>
      <c r="X20" s="103"/>
      <c r="Y20" s="103"/>
      <c r="Z20" s="103"/>
      <c r="AA20" s="105"/>
      <c r="AB20" s="105"/>
      <c r="AC20" s="120"/>
      <c r="AD20" s="121"/>
      <c r="AE20" s="119"/>
      <c r="AF20" s="119"/>
      <c r="AG20" s="106"/>
      <c r="AH20" s="106"/>
      <c r="AI20" s="106"/>
      <c r="AJ20" s="106"/>
      <c r="AK20" s="106"/>
      <c r="AL20" s="103"/>
      <c r="AM20" s="103"/>
      <c r="AN20" s="103"/>
      <c r="AO20" s="103"/>
      <c r="AP20" s="105"/>
      <c r="AQ20" s="101"/>
      <c r="AR20" s="103"/>
      <c r="AS20" s="103"/>
      <c r="AT20" s="103"/>
      <c r="AU20" s="103"/>
      <c r="AV20" s="107"/>
      <c r="AW20" s="107"/>
      <c r="AX20" s="107"/>
      <c r="AY20" s="107"/>
      <c r="AZ20" s="107"/>
      <c r="BA20" s="103"/>
      <c r="BB20" s="103"/>
      <c r="BC20" s="103"/>
      <c r="BD20" s="103"/>
      <c r="BE20" s="105"/>
      <c r="BF20" s="101"/>
      <c r="BG20" s="103"/>
      <c r="BH20" s="103"/>
      <c r="BI20" s="103"/>
      <c r="BJ20" s="103"/>
      <c r="BK20" s="108"/>
      <c r="BL20" s="108"/>
      <c r="BM20" s="108"/>
      <c r="BN20" s="108"/>
      <c r="BO20" s="108"/>
      <c r="BP20" s="103"/>
      <c r="BQ20" s="103"/>
      <c r="BR20" s="103"/>
      <c r="BS20" s="103"/>
      <c r="BT20" s="105"/>
      <c r="BU20" s="20"/>
      <c r="BV20" s="9"/>
    </row>
    <row r="21" ht="32.25" customHeight="1">
      <c r="B21" s="109" t="s">
        <v>58</v>
      </c>
      <c r="C21" s="91" t="s">
        <v>59</v>
      </c>
      <c r="D21" s="92" t="s">
        <v>46</v>
      </c>
      <c r="E21" s="93">
        <v>1.5</v>
      </c>
      <c r="F21" s="94">
        <v>1.5</v>
      </c>
      <c r="G21" s="95">
        <f t="shared" si="6"/>
        <v>0</v>
      </c>
      <c r="H21" s="96">
        <v>2.0</v>
      </c>
      <c r="I21" s="97"/>
      <c r="J21" s="98"/>
      <c r="K21" s="99">
        <f t="shared" si="7"/>
        <v>1</v>
      </c>
      <c r="L21" s="100">
        <f t="shared" si="2"/>
        <v>1</v>
      </c>
      <c r="M21" s="101"/>
      <c r="N21" s="103"/>
      <c r="O21" s="103"/>
      <c r="P21" s="103"/>
      <c r="Q21" s="103"/>
      <c r="R21" s="104"/>
      <c r="S21" s="104"/>
      <c r="T21" s="104"/>
      <c r="U21" s="104"/>
      <c r="V21" s="102"/>
      <c r="W21" s="103"/>
      <c r="X21" s="103"/>
      <c r="Y21" s="103"/>
      <c r="Z21" s="103"/>
      <c r="AA21" s="105"/>
      <c r="AB21" s="105"/>
      <c r="AC21" s="120"/>
      <c r="AD21" s="121"/>
      <c r="AE21" s="119"/>
      <c r="AF21" s="119"/>
      <c r="AG21" s="106"/>
      <c r="AH21" s="106"/>
      <c r="AI21" s="106"/>
      <c r="AJ21" s="106"/>
      <c r="AK21" s="106"/>
      <c r="AL21" s="103"/>
      <c r="AM21" s="103"/>
      <c r="AN21" s="103"/>
      <c r="AO21" s="103"/>
      <c r="AP21" s="105"/>
      <c r="AQ21" s="101"/>
      <c r="AR21" s="103"/>
      <c r="AS21" s="103"/>
      <c r="AT21" s="103"/>
      <c r="AU21" s="103"/>
      <c r="AV21" s="107"/>
      <c r="AW21" s="107"/>
      <c r="AX21" s="107"/>
      <c r="AY21" s="107"/>
      <c r="AZ21" s="107"/>
      <c r="BA21" s="103"/>
      <c r="BB21" s="103"/>
      <c r="BC21" s="103"/>
      <c r="BD21" s="103"/>
      <c r="BE21" s="105"/>
      <c r="BF21" s="101"/>
      <c r="BG21" s="103"/>
      <c r="BH21" s="103"/>
      <c r="BI21" s="103"/>
      <c r="BJ21" s="103"/>
      <c r="BK21" s="108"/>
      <c r="BL21" s="108"/>
      <c r="BM21" s="108"/>
      <c r="BN21" s="108"/>
      <c r="BO21" s="108"/>
      <c r="BP21" s="103"/>
      <c r="BQ21" s="103"/>
      <c r="BR21" s="103"/>
      <c r="BS21" s="103"/>
      <c r="BT21" s="105"/>
      <c r="BU21" s="20"/>
      <c r="BV21" s="9"/>
    </row>
    <row r="22" ht="22.5" customHeight="1">
      <c r="B22" s="90">
        <v>3.0</v>
      </c>
      <c r="C22" s="110" t="s">
        <v>60</v>
      </c>
      <c r="D22" s="111"/>
      <c r="E22" s="79">
        <f t="shared" ref="E22:G22" si="8">SUM(E23:E24)</f>
        <v>3.5</v>
      </c>
      <c r="F22" s="80">
        <f t="shared" si="8"/>
        <v>3.5</v>
      </c>
      <c r="G22" s="81">
        <f t="shared" si="8"/>
        <v>0</v>
      </c>
      <c r="H22" s="112"/>
      <c r="I22" s="113"/>
      <c r="J22" s="114"/>
      <c r="K22" s="115"/>
      <c r="L22" s="86">
        <f t="shared" si="2"/>
        <v>1</v>
      </c>
      <c r="M22" s="87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9"/>
      <c r="AB22" s="87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87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9"/>
      <c r="BF22" s="87"/>
      <c r="BG22" s="88"/>
      <c r="BH22" s="88"/>
      <c r="BI22" s="88"/>
      <c r="BJ22" s="88"/>
      <c r="BK22" s="88"/>
      <c r="BL22" s="88"/>
      <c r="BM22" s="88"/>
      <c r="BN22" s="88"/>
      <c r="BO22" s="88"/>
      <c r="BP22" s="88"/>
      <c r="BQ22" s="88"/>
      <c r="BR22" s="88"/>
      <c r="BS22" s="88"/>
      <c r="BT22" s="89"/>
      <c r="BU22" s="20"/>
      <c r="BV22" s="9"/>
    </row>
    <row r="23" ht="26.25" customHeight="1">
      <c r="B23" s="109" t="s">
        <v>61</v>
      </c>
      <c r="C23" s="91" t="s">
        <v>62</v>
      </c>
      <c r="D23" s="92" t="s">
        <v>39</v>
      </c>
      <c r="E23" s="93">
        <v>1.5</v>
      </c>
      <c r="F23" s="94">
        <v>1.5</v>
      </c>
      <c r="G23" s="95">
        <f t="shared" ref="G23:G28" si="9">E23-F23</f>
        <v>0</v>
      </c>
      <c r="H23" s="96">
        <v>3.0</v>
      </c>
      <c r="I23" s="97"/>
      <c r="J23" s="98"/>
      <c r="K23" s="99">
        <f t="shared" ref="K23:K24" si="10">J23-I23+1</f>
        <v>1</v>
      </c>
      <c r="L23" s="100">
        <f t="shared" si="2"/>
        <v>1</v>
      </c>
      <c r="M23" s="101"/>
      <c r="N23" s="103"/>
      <c r="O23" s="103"/>
      <c r="P23" s="103"/>
      <c r="Q23" s="103"/>
      <c r="R23" s="104"/>
      <c r="S23" s="104"/>
      <c r="T23" s="104"/>
      <c r="U23" s="104"/>
      <c r="V23" s="104"/>
      <c r="W23" s="103"/>
      <c r="X23" s="102"/>
      <c r="Y23" s="103"/>
      <c r="Z23" s="103"/>
      <c r="AA23" s="105"/>
      <c r="AB23" s="101"/>
      <c r="AC23" s="103"/>
      <c r="AD23" s="103"/>
      <c r="AE23" s="103"/>
      <c r="AF23" s="103"/>
      <c r="AG23" s="106"/>
      <c r="AH23" s="106"/>
      <c r="AI23" s="106"/>
      <c r="AJ23" s="106"/>
      <c r="AK23" s="106"/>
      <c r="AL23" s="103"/>
      <c r="AM23" s="103"/>
      <c r="AN23" s="103"/>
      <c r="AO23" s="103"/>
      <c r="AP23" s="105"/>
      <c r="AQ23" s="101"/>
      <c r="AR23" s="103"/>
      <c r="AS23" s="103"/>
      <c r="AT23" s="103"/>
      <c r="AU23" s="103"/>
      <c r="AV23" s="107"/>
      <c r="AW23" s="107"/>
      <c r="AX23" s="107"/>
      <c r="AY23" s="107"/>
      <c r="AZ23" s="107"/>
      <c r="BA23" s="103"/>
      <c r="BB23" s="103"/>
      <c r="BC23" s="103"/>
      <c r="BD23" s="103"/>
      <c r="BE23" s="105"/>
      <c r="BF23" s="101"/>
      <c r="BG23" s="103"/>
      <c r="BH23" s="103"/>
      <c r="BI23" s="103"/>
      <c r="BJ23" s="103"/>
      <c r="BK23" s="108"/>
      <c r="BL23" s="108"/>
      <c r="BM23" s="108"/>
      <c r="BN23" s="108"/>
      <c r="BO23" s="108"/>
      <c r="BP23" s="103"/>
      <c r="BQ23" s="103"/>
      <c r="BR23" s="103"/>
      <c r="BS23" s="103"/>
      <c r="BT23" s="105"/>
      <c r="BU23" s="20"/>
      <c r="BV23" s="9"/>
    </row>
    <row r="24" ht="33.75" customHeight="1">
      <c r="B24" s="109" t="s">
        <v>63</v>
      </c>
      <c r="C24" s="91" t="s">
        <v>64</v>
      </c>
      <c r="D24" s="92" t="s">
        <v>42</v>
      </c>
      <c r="E24" s="93">
        <v>2.0</v>
      </c>
      <c r="F24" s="94">
        <v>2.0</v>
      </c>
      <c r="G24" s="95">
        <f t="shared" si="9"/>
        <v>0</v>
      </c>
      <c r="H24" s="96">
        <v>3.0</v>
      </c>
      <c r="I24" s="97"/>
      <c r="J24" s="98"/>
      <c r="K24" s="99">
        <f t="shared" si="10"/>
        <v>1</v>
      </c>
      <c r="L24" s="100">
        <f t="shared" si="2"/>
        <v>1</v>
      </c>
      <c r="M24" s="101"/>
      <c r="N24" s="103"/>
      <c r="O24" s="103"/>
      <c r="P24" s="103"/>
      <c r="Q24" s="103"/>
      <c r="R24" s="104"/>
      <c r="S24" s="104"/>
      <c r="T24" s="104"/>
      <c r="U24" s="104"/>
      <c r="V24" s="104"/>
      <c r="W24" s="103"/>
      <c r="X24" s="102"/>
      <c r="Y24" s="103"/>
      <c r="Z24" s="103"/>
      <c r="AA24" s="105"/>
      <c r="AB24" s="101"/>
      <c r="AC24" s="103"/>
      <c r="AD24" s="103"/>
      <c r="AE24" s="103"/>
      <c r="AF24" s="103"/>
      <c r="AG24" s="106"/>
      <c r="AH24" s="106"/>
      <c r="AI24" s="106"/>
      <c r="AJ24" s="106"/>
      <c r="AK24" s="106"/>
      <c r="AL24" s="103"/>
      <c r="AM24" s="103"/>
      <c r="AN24" s="103"/>
      <c r="AO24" s="103"/>
      <c r="AP24" s="105"/>
      <c r="AQ24" s="101"/>
      <c r="AR24" s="103"/>
      <c r="AS24" s="103"/>
      <c r="AT24" s="103"/>
      <c r="AU24" s="103"/>
      <c r="AV24" s="107"/>
      <c r="AW24" s="107"/>
      <c r="AX24" s="107"/>
      <c r="AY24" s="107"/>
      <c r="AZ24" s="107"/>
      <c r="BA24" s="103"/>
      <c r="BB24" s="103"/>
      <c r="BC24" s="103"/>
      <c r="BD24" s="103"/>
      <c r="BE24" s="105"/>
      <c r="BF24" s="101"/>
      <c r="BG24" s="103"/>
      <c r="BH24" s="103"/>
      <c r="BI24" s="103"/>
      <c r="BJ24" s="103"/>
      <c r="BK24" s="108"/>
      <c r="BL24" s="108"/>
      <c r="BM24" s="108"/>
      <c r="BN24" s="108"/>
      <c r="BO24" s="108"/>
      <c r="BP24" s="103"/>
      <c r="BQ24" s="103"/>
      <c r="BR24" s="103"/>
      <c r="BS24" s="103"/>
      <c r="BT24" s="105"/>
      <c r="BU24" s="20"/>
      <c r="BV24" s="9"/>
    </row>
    <row r="25" ht="33.75" customHeight="1">
      <c r="B25" s="109" t="s">
        <v>65</v>
      </c>
      <c r="C25" s="91" t="s">
        <v>66</v>
      </c>
      <c r="D25" s="92" t="s">
        <v>42</v>
      </c>
      <c r="E25" s="93">
        <v>1.5</v>
      </c>
      <c r="F25" s="94">
        <v>1.5</v>
      </c>
      <c r="G25" s="95">
        <f t="shared" si="9"/>
        <v>0</v>
      </c>
      <c r="H25" s="96">
        <v>3.0</v>
      </c>
      <c r="I25" s="97"/>
      <c r="J25" s="98"/>
      <c r="K25" s="99"/>
      <c r="L25" s="100">
        <f t="shared" si="2"/>
        <v>1</v>
      </c>
      <c r="M25" s="101"/>
      <c r="N25" s="103"/>
      <c r="O25" s="103"/>
      <c r="P25" s="103"/>
      <c r="Q25" s="103"/>
      <c r="R25" s="104"/>
      <c r="S25" s="104"/>
      <c r="T25" s="104"/>
      <c r="U25" s="104"/>
      <c r="V25" s="104"/>
      <c r="W25" s="103"/>
      <c r="X25" s="102"/>
      <c r="Y25" s="102"/>
      <c r="Z25" s="103"/>
      <c r="AA25" s="105"/>
      <c r="AB25" s="101"/>
      <c r="AC25" s="103"/>
      <c r="AD25" s="103"/>
      <c r="AE25" s="103"/>
      <c r="AF25" s="103"/>
      <c r="AG25" s="106"/>
      <c r="AH25" s="106"/>
      <c r="AI25" s="106"/>
      <c r="AJ25" s="106"/>
      <c r="AK25" s="106"/>
      <c r="AL25" s="103"/>
      <c r="AM25" s="103"/>
      <c r="AN25" s="103"/>
      <c r="AO25" s="103"/>
      <c r="AP25" s="105"/>
      <c r="AQ25" s="101"/>
      <c r="AR25" s="103"/>
      <c r="AS25" s="103"/>
      <c r="AT25" s="103"/>
      <c r="AU25" s="103"/>
      <c r="AV25" s="107"/>
      <c r="AW25" s="107"/>
      <c r="AX25" s="107"/>
      <c r="AY25" s="107"/>
      <c r="AZ25" s="107"/>
      <c r="BA25" s="103"/>
      <c r="BB25" s="103"/>
      <c r="BC25" s="103"/>
      <c r="BD25" s="103"/>
      <c r="BE25" s="105"/>
      <c r="BF25" s="101"/>
      <c r="BG25" s="103"/>
      <c r="BH25" s="103"/>
      <c r="BI25" s="103"/>
      <c r="BJ25" s="103"/>
      <c r="BK25" s="108"/>
      <c r="BL25" s="108"/>
      <c r="BM25" s="108"/>
      <c r="BN25" s="108"/>
      <c r="BO25" s="108"/>
      <c r="BP25" s="103"/>
      <c r="BQ25" s="103"/>
      <c r="BR25" s="103"/>
      <c r="BS25" s="103"/>
      <c r="BT25" s="105"/>
      <c r="BU25" s="20"/>
      <c r="BV25" s="9"/>
    </row>
    <row r="26" ht="33.75" customHeight="1">
      <c r="B26" s="109" t="s">
        <v>67</v>
      </c>
      <c r="C26" s="91" t="s">
        <v>68</v>
      </c>
      <c r="D26" s="92" t="s">
        <v>39</v>
      </c>
      <c r="E26" s="93">
        <v>2.0</v>
      </c>
      <c r="F26" s="94">
        <v>2.0</v>
      </c>
      <c r="G26" s="95">
        <f t="shared" si="9"/>
        <v>0</v>
      </c>
      <c r="H26" s="96">
        <v>3.0</v>
      </c>
      <c r="I26" s="97"/>
      <c r="J26" s="98"/>
      <c r="K26" s="99"/>
      <c r="L26" s="100">
        <f t="shared" si="2"/>
        <v>1</v>
      </c>
      <c r="M26" s="101"/>
      <c r="N26" s="103"/>
      <c r="O26" s="103"/>
      <c r="P26" s="103"/>
      <c r="Q26" s="103"/>
      <c r="R26" s="104"/>
      <c r="S26" s="104"/>
      <c r="T26" s="104"/>
      <c r="U26" s="104"/>
      <c r="V26" s="104"/>
      <c r="W26" s="103"/>
      <c r="X26" s="103"/>
      <c r="Y26" s="103"/>
      <c r="Z26" s="102"/>
      <c r="AA26" s="102"/>
      <c r="AB26" s="101"/>
      <c r="AC26" s="103"/>
      <c r="AD26" s="103"/>
      <c r="AE26" s="103"/>
      <c r="AF26" s="103"/>
      <c r="AG26" s="106"/>
      <c r="AH26" s="106"/>
      <c r="AI26" s="106"/>
      <c r="AJ26" s="106"/>
      <c r="AK26" s="106"/>
      <c r="AL26" s="103"/>
      <c r="AM26" s="103"/>
      <c r="AN26" s="103"/>
      <c r="AO26" s="103"/>
      <c r="AP26" s="105"/>
      <c r="AQ26" s="101"/>
      <c r="AR26" s="103"/>
      <c r="AS26" s="103"/>
      <c r="AT26" s="103"/>
      <c r="AU26" s="103"/>
      <c r="AV26" s="107"/>
      <c r="AW26" s="107"/>
      <c r="AX26" s="107"/>
      <c r="AY26" s="107"/>
      <c r="AZ26" s="107"/>
      <c r="BA26" s="103"/>
      <c r="BB26" s="103"/>
      <c r="BC26" s="103"/>
      <c r="BD26" s="103"/>
      <c r="BE26" s="105"/>
      <c r="BF26" s="101"/>
      <c r="BG26" s="103"/>
      <c r="BH26" s="103"/>
      <c r="BI26" s="103"/>
      <c r="BJ26" s="103"/>
      <c r="BK26" s="108"/>
      <c r="BL26" s="108"/>
      <c r="BM26" s="108"/>
      <c r="BN26" s="108"/>
      <c r="BO26" s="108"/>
      <c r="BP26" s="103"/>
      <c r="BQ26" s="103"/>
      <c r="BR26" s="103"/>
      <c r="BS26" s="103"/>
      <c r="BT26" s="105"/>
      <c r="BU26" s="20"/>
      <c r="BV26" s="9"/>
    </row>
    <row r="27" ht="33.75" customHeight="1">
      <c r="B27" s="109" t="s">
        <v>69</v>
      </c>
      <c r="C27" s="91" t="s">
        <v>70</v>
      </c>
      <c r="D27" s="92" t="s">
        <v>39</v>
      </c>
      <c r="E27" s="93">
        <v>1.0</v>
      </c>
      <c r="F27" s="94">
        <v>1.0</v>
      </c>
      <c r="G27" s="95">
        <f t="shared" si="9"/>
        <v>0</v>
      </c>
      <c r="H27" s="96">
        <v>3.0</v>
      </c>
      <c r="I27" s="97"/>
      <c r="J27" s="98"/>
      <c r="K27" s="99"/>
      <c r="L27" s="100">
        <f t="shared" si="2"/>
        <v>1</v>
      </c>
      <c r="M27" s="101"/>
      <c r="N27" s="103"/>
      <c r="O27" s="103"/>
      <c r="P27" s="103"/>
      <c r="Q27" s="103"/>
      <c r="R27" s="104"/>
      <c r="S27" s="104"/>
      <c r="T27" s="104"/>
      <c r="U27" s="104"/>
      <c r="V27" s="104"/>
      <c r="W27" s="103"/>
      <c r="X27" s="103"/>
      <c r="Y27" s="122"/>
      <c r="Z27" s="103"/>
      <c r="AA27" s="122"/>
      <c r="AB27" s="123"/>
      <c r="AC27" s="103"/>
      <c r="AD27" s="103"/>
      <c r="AE27" s="103"/>
      <c r="AF27" s="103"/>
      <c r="AG27" s="106"/>
      <c r="AH27" s="106"/>
      <c r="AI27" s="106"/>
      <c r="AJ27" s="106"/>
      <c r="AK27" s="106"/>
      <c r="AL27" s="103"/>
      <c r="AM27" s="103"/>
      <c r="AN27" s="103"/>
      <c r="AO27" s="103"/>
      <c r="AP27" s="105"/>
      <c r="AQ27" s="101"/>
      <c r="AR27" s="103"/>
      <c r="AS27" s="103"/>
      <c r="AT27" s="103"/>
      <c r="AU27" s="103"/>
      <c r="AV27" s="107"/>
      <c r="AW27" s="107"/>
      <c r="AX27" s="107"/>
      <c r="AY27" s="107"/>
      <c r="AZ27" s="107"/>
      <c r="BA27" s="103"/>
      <c r="BB27" s="103"/>
      <c r="BC27" s="103"/>
      <c r="BD27" s="103"/>
      <c r="BE27" s="105"/>
      <c r="BF27" s="101"/>
      <c r="BG27" s="103"/>
      <c r="BH27" s="103"/>
      <c r="BI27" s="103"/>
      <c r="BJ27" s="103"/>
      <c r="BK27" s="108"/>
      <c r="BL27" s="108"/>
      <c r="BM27" s="108"/>
      <c r="BN27" s="108"/>
      <c r="BO27" s="108"/>
      <c r="BP27" s="103"/>
      <c r="BQ27" s="103"/>
      <c r="BR27" s="103"/>
      <c r="BS27" s="103"/>
      <c r="BT27" s="105"/>
      <c r="BU27" s="20"/>
      <c r="BV27" s="9"/>
    </row>
    <row r="28" ht="23.25" customHeight="1">
      <c r="B28" s="109" t="s">
        <v>71</v>
      </c>
      <c r="C28" s="91" t="s">
        <v>72</v>
      </c>
      <c r="D28" s="92" t="s">
        <v>39</v>
      </c>
      <c r="E28" s="93">
        <v>2.5</v>
      </c>
      <c r="F28" s="94">
        <v>2.5</v>
      </c>
      <c r="G28" s="95">
        <f t="shared" si="9"/>
        <v>0</v>
      </c>
      <c r="H28" s="96">
        <v>3.0</v>
      </c>
      <c r="I28" s="97"/>
      <c r="J28" s="98"/>
      <c r="K28" s="99"/>
      <c r="L28" s="100">
        <f t="shared" si="2"/>
        <v>1</v>
      </c>
      <c r="M28" s="101"/>
      <c r="N28" s="103"/>
      <c r="O28" s="103"/>
      <c r="P28" s="103"/>
      <c r="Q28" s="103"/>
      <c r="R28" s="104"/>
      <c r="S28" s="104"/>
      <c r="T28" s="104"/>
      <c r="U28" s="104"/>
      <c r="V28" s="104"/>
      <c r="W28" s="103"/>
      <c r="X28" s="103"/>
      <c r="Y28" s="103"/>
      <c r="Z28" s="103"/>
      <c r="AA28" s="105"/>
      <c r="AB28" s="123"/>
      <c r="AC28" s="123"/>
      <c r="AD28" s="103"/>
      <c r="AE28" s="103"/>
      <c r="AF28" s="103"/>
      <c r="AG28" s="106"/>
      <c r="AH28" s="106"/>
      <c r="AI28" s="106"/>
      <c r="AJ28" s="106"/>
      <c r="AK28" s="106"/>
      <c r="AL28" s="103"/>
      <c r="AM28" s="103"/>
      <c r="AN28" s="103"/>
      <c r="AO28" s="103"/>
      <c r="AP28" s="105"/>
      <c r="AQ28" s="101"/>
      <c r="AR28" s="103"/>
      <c r="AS28" s="103"/>
      <c r="AT28" s="103"/>
      <c r="AU28" s="103"/>
      <c r="AV28" s="107"/>
      <c r="AW28" s="107"/>
      <c r="AX28" s="107"/>
      <c r="AY28" s="107"/>
      <c r="AZ28" s="107"/>
      <c r="BA28" s="103"/>
      <c r="BB28" s="103"/>
      <c r="BC28" s="103"/>
      <c r="BD28" s="103"/>
      <c r="BE28" s="105"/>
      <c r="BF28" s="101"/>
      <c r="BG28" s="103"/>
      <c r="BH28" s="103"/>
      <c r="BI28" s="103"/>
      <c r="BJ28" s="103"/>
      <c r="BK28" s="108"/>
      <c r="BL28" s="108"/>
      <c r="BM28" s="108"/>
      <c r="BN28" s="108"/>
      <c r="BO28" s="108"/>
      <c r="BP28" s="103"/>
      <c r="BQ28" s="103"/>
      <c r="BR28" s="103"/>
      <c r="BS28" s="103"/>
      <c r="BT28" s="105"/>
      <c r="BU28" s="20"/>
      <c r="BV28" s="9"/>
    </row>
    <row r="29" ht="29.25" customHeight="1">
      <c r="B29" s="90">
        <v>4.0</v>
      </c>
      <c r="C29" s="124" t="s">
        <v>73</v>
      </c>
      <c r="D29" s="111"/>
      <c r="E29" s="79">
        <f t="shared" ref="E29:G29" si="11">SUM(E30:E33)</f>
        <v>6.5</v>
      </c>
      <c r="F29" s="80">
        <f t="shared" si="11"/>
        <v>6.5</v>
      </c>
      <c r="G29" s="81">
        <f t="shared" si="11"/>
        <v>0</v>
      </c>
      <c r="H29" s="112"/>
      <c r="I29" s="113"/>
      <c r="J29" s="114"/>
      <c r="K29" s="115"/>
      <c r="L29" s="86">
        <f t="shared" si="2"/>
        <v>1</v>
      </c>
      <c r="M29" s="87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9"/>
      <c r="AB29" s="87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87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9"/>
      <c r="BF29" s="87"/>
      <c r="BG29" s="88"/>
      <c r="BH29" s="88"/>
      <c r="BI29" s="88"/>
      <c r="BJ29" s="88"/>
      <c r="BK29" s="88"/>
      <c r="BL29" s="88"/>
      <c r="BM29" s="88"/>
      <c r="BN29" s="88"/>
      <c r="BO29" s="88"/>
      <c r="BP29" s="88"/>
      <c r="BQ29" s="88"/>
      <c r="BR29" s="88"/>
      <c r="BS29" s="88"/>
      <c r="BT29" s="89"/>
      <c r="BU29" s="20"/>
      <c r="BV29" s="9"/>
    </row>
    <row r="30" ht="30.75" customHeight="1">
      <c r="B30" s="90">
        <v>4.1</v>
      </c>
      <c r="C30" s="91" t="s">
        <v>74</v>
      </c>
      <c r="D30" s="92" t="s">
        <v>46</v>
      </c>
      <c r="E30" s="93">
        <v>2.0</v>
      </c>
      <c r="F30" s="94">
        <v>2.0</v>
      </c>
      <c r="G30" s="95">
        <f t="shared" ref="G30:G34" si="12">E30-F30</f>
        <v>0</v>
      </c>
      <c r="H30" s="96">
        <v>3.0</v>
      </c>
      <c r="I30" s="97"/>
      <c r="J30" s="98"/>
      <c r="K30" s="99">
        <f t="shared" ref="K30:K33" si="13">J30-I30+1</f>
        <v>1</v>
      </c>
      <c r="L30" s="100">
        <f t="shared" si="2"/>
        <v>1</v>
      </c>
      <c r="M30" s="101"/>
      <c r="N30" s="103"/>
      <c r="O30" s="103"/>
      <c r="P30" s="103"/>
      <c r="Q30" s="103"/>
      <c r="R30" s="104"/>
      <c r="S30" s="104"/>
      <c r="T30" s="104"/>
      <c r="U30" s="104"/>
      <c r="V30" s="104"/>
      <c r="W30" s="103"/>
      <c r="X30" s="103"/>
      <c r="Y30" s="103"/>
      <c r="Z30" s="103"/>
      <c r="AA30" s="105"/>
      <c r="AB30" s="101"/>
      <c r="AC30" s="103"/>
      <c r="AD30" s="123"/>
      <c r="AE30" s="103"/>
      <c r="AF30" s="103"/>
      <c r="AG30" s="106"/>
      <c r="AH30" s="106"/>
      <c r="AI30" s="106"/>
      <c r="AJ30" s="106"/>
      <c r="AK30" s="106"/>
      <c r="AL30" s="103"/>
      <c r="AM30" s="103"/>
      <c r="AN30" s="103"/>
      <c r="AO30" s="103"/>
      <c r="AP30" s="105"/>
      <c r="AQ30" s="101"/>
      <c r="AR30" s="103"/>
      <c r="AS30" s="103"/>
      <c r="AT30" s="103"/>
      <c r="AU30" s="103"/>
      <c r="AV30" s="107"/>
      <c r="AW30" s="107"/>
      <c r="AX30" s="107"/>
      <c r="AY30" s="107"/>
      <c r="AZ30" s="107"/>
      <c r="BA30" s="103"/>
      <c r="BB30" s="103"/>
      <c r="BC30" s="103"/>
      <c r="BD30" s="103"/>
      <c r="BE30" s="105"/>
      <c r="BF30" s="101"/>
      <c r="BG30" s="103"/>
      <c r="BH30" s="103"/>
      <c r="BI30" s="103"/>
      <c r="BJ30" s="103"/>
      <c r="BK30" s="108"/>
      <c r="BL30" s="108"/>
      <c r="BM30" s="108"/>
      <c r="BN30" s="108"/>
      <c r="BO30" s="108"/>
      <c r="BP30" s="103"/>
      <c r="BQ30" s="103"/>
      <c r="BR30" s="103"/>
      <c r="BS30" s="103"/>
      <c r="BT30" s="105"/>
      <c r="BU30" s="20"/>
      <c r="BV30" s="9"/>
    </row>
    <row r="31" ht="21.75" customHeight="1">
      <c r="B31" s="90">
        <v>4.2</v>
      </c>
      <c r="C31" s="91" t="s">
        <v>75</v>
      </c>
      <c r="D31" s="92" t="s">
        <v>46</v>
      </c>
      <c r="E31" s="93">
        <v>1.5</v>
      </c>
      <c r="F31" s="94">
        <v>1.5</v>
      </c>
      <c r="G31" s="95">
        <f t="shared" si="12"/>
        <v>0</v>
      </c>
      <c r="H31" s="96">
        <v>3.0</v>
      </c>
      <c r="I31" s="97"/>
      <c r="J31" s="98"/>
      <c r="K31" s="99">
        <f t="shared" si="13"/>
        <v>1</v>
      </c>
      <c r="L31" s="100">
        <f t="shared" si="2"/>
        <v>1</v>
      </c>
      <c r="M31" s="101"/>
      <c r="N31" s="103"/>
      <c r="O31" s="103"/>
      <c r="P31" s="103"/>
      <c r="Q31" s="103"/>
      <c r="R31" s="104"/>
      <c r="S31" s="104"/>
      <c r="T31" s="104"/>
      <c r="U31" s="104"/>
      <c r="V31" s="104"/>
      <c r="W31" s="103"/>
      <c r="X31" s="103"/>
      <c r="Y31" s="103"/>
      <c r="Z31" s="103"/>
      <c r="AA31" s="105"/>
      <c r="AB31" s="101"/>
      <c r="AC31" s="103"/>
      <c r="AD31" s="123"/>
      <c r="AE31" s="103"/>
      <c r="AF31" s="103"/>
      <c r="AG31" s="106"/>
      <c r="AH31" s="106"/>
      <c r="AI31" s="106"/>
      <c r="AJ31" s="106"/>
      <c r="AK31" s="106"/>
      <c r="AL31" s="103"/>
      <c r="AM31" s="103"/>
      <c r="AN31" s="103"/>
      <c r="AO31" s="103"/>
      <c r="AP31" s="105"/>
      <c r="AQ31" s="101"/>
      <c r="AR31" s="103"/>
      <c r="AS31" s="103"/>
      <c r="AT31" s="103"/>
      <c r="AU31" s="103"/>
      <c r="AV31" s="107"/>
      <c r="AW31" s="107"/>
      <c r="AX31" s="107"/>
      <c r="AY31" s="107"/>
      <c r="AZ31" s="107"/>
      <c r="BA31" s="103"/>
      <c r="BB31" s="103"/>
      <c r="BC31" s="103"/>
      <c r="BD31" s="103"/>
      <c r="BE31" s="105"/>
      <c r="BF31" s="101"/>
      <c r="BG31" s="103"/>
      <c r="BH31" s="103"/>
      <c r="BI31" s="103"/>
      <c r="BJ31" s="103"/>
      <c r="BK31" s="108"/>
      <c r="BL31" s="108"/>
      <c r="BM31" s="108"/>
      <c r="BN31" s="108"/>
      <c r="BO31" s="108"/>
      <c r="BP31" s="103"/>
      <c r="BQ31" s="103"/>
      <c r="BR31" s="103"/>
      <c r="BS31" s="103"/>
      <c r="BT31" s="105"/>
      <c r="BU31" s="20"/>
      <c r="BV31" s="9"/>
    </row>
    <row r="32" ht="30.75" customHeight="1">
      <c r="B32" s="90">
        <v>4.3</v>
      </c>
      <c r="C32" s="91" t="s">
        <v>76</v>
      </c>
      <c r="D32" s="92" t="s">
        <v>42</v>
      </c>
      <c r="E32" s="93">
        <v>1.5</v>
      </c>
      <c r="F32" s="94">
        <v>1.5</v>
      </c>
      <c r="G32" s="95">
        <f t="shared" si="12"/>
        <v>0</v>
      </c>
      <c r="H32" s="96">
        <v>3.0</v>
      </c>
      <c r="I32" s="97"/>
      <c r="J32" s="98"/>
      <c r="K32" s="99">
        <f t="shared" si="13"/>
        <v>1</v>
      </c>
      <c r="L32" s="100">
        <f t="shared" si="2"/>
        <v>1</v>
      </c>
      <c r="M32" s="101"/>
      <c r="N32" s="103"/>
      <c r="O32" s="103"/>
      <c r="P32" s="103"/>
      <c r="Q32" s="103"/>
      <c r="R32" s="104"/>
      <c r="S32" s="104"/>
      <c r="T32" s="104"/>
      <c r="U32" s="104"/>
      <c r="V32" s="104"/>
      <c r="W32" s="103"/>
      <c r="X32" s="103"/>
      <c r="Y32" s="103"/>
      <c r="Z32" s="103"/>
      <c r="AA32" s="105"/>
      <c r="AB32" s="101"/>
      <c r="AC32" s="103"/>
      <c r="AD32" s="103"/>
      <c r="AE32" s="123"/>
      <c r="AF32" s="103"/>
      <c r="AG32" s="106"/>
      <c r="AH32" s="106"/>
      <c r="AI32" s="106"/>
      <c r="AJ32" s="106"/>
      <c r="AK32" s="106"/>
      <c r="AL32" s="103"/>
      <c r="AM32" s="103"/>
      <c r="AN32" s="103"/>
      <c r="AO32" s="103"/>
      <c r="AP32" s="105"/>
      <c r="AQ32" s="101"/>
      <c r="AR32" s="103"/>
      <c r="AS32" s="103"/>
      <c r="AT32" s="103"/>
      <c r="AU32" s="103"/>
      <c r="AV32" s="107"/>
      <c r="AW32" s="107"/>
      <c r="AX32" s="107"/>
      <c r="AY32" s="107"/>
      <c r="AZ32" s="107"/>
      <c r="BA32" s="103"/>
      <c r="BB32" s="103"/>
      <c r="BC32" s="103"/>
      <c r="BD32" s="103"/>
      <c r="BE32" s="105"/>
      <c r="BF32" s="101"/>
      <c r="BG32" s="103"/>
      <c r="BH32" s="103"/>
      <c r="BI32" s="103"/>
      <c r="BJ32" s="103"/>
      <c r="BK32" s="108"/>
      <c r="BL32" s="108"/>
      <c r="BM32" s="108"/>
      <c r="BN32" s="108"/>
      <c r="BO32" s="108"/>
      <c r="BP32" s="103"/>
      <c r="BQ32" s="103"/>
      <c r="BR32" s="103"/>
      <c r="BS32" s="103"/>
      <c r="BT32" s="105"/>
      <c r="BU32" s="20"/>
      <c r="BV32" s="9"/>
    </row>
    <row r="33" ht="30.75" customHeight="1">
      <c r="B33" s="125" t="s">
        <v>77</v>
      </c>
      <c r="C33" s="126" t="s">
        <v>78</v>
      </c>
      <c r="D33" s="127" t="s">
        <v>39</v>
      </c>
      <c r="E33" s="128">
        <v>1.5</v>
      </c>
      <c r="F33" s="129">
        <v>1.5</v>
      </c>
      <c r="G33" s="130">
        <f t="shared" si="12"/>
        <v>0</v>
      </c>
      <c r="H33" s="131">
        <v>3.0</v>
      </c>
      <c r="I33" s="132"/>
      <c r="J33" s="133"/>
      <c r="K33" s="134">
        <f t="shared" si="13"/>
        <v>1</v>
      </c>
      <c r="L33" s="100">
        <f t="shared" si="2"/>
        <v>1</v>
      </c>
      <c r="M33" s="101"/>
      <c r="N33" s="103"/>
      <c r="O33" s="103"/>
      <c r="P33" s="103"/>
      <c r="Q33" s="103"/>
      <c r="R33" s="104"/>
      <c r="S33" s="104"/>
      <c r="T33" s="104"/>
      <c r="U33" s="104"/>
      <c r="V33" s="104"/>
      <c r="W33" s="103"/>
      <c r="X33" s="103"/>
      <c r="Y33" s="103"/>
      <c r="Z33" s="103"/>
      <c r="AA33" s="105"/>
      <c r="AB33" s="135"/>
      <c r="AC33" s="136"/>
      <c r="AD33" s="136"/>
      <c r="AE33" s="137"/>
      <c r="AF33" s="136"/>
      <c r="AG33" s="138"/>
      <c r="AH33" s="138"/>
      <c r="AI33" s="138"/>
      <c r="AJ33" s="138"/>
      <c r="AK33" s="138"/>
      <c r="AL33" s="136"/>
      <c r="AM33" s="136"/>
      <c r="AN33" s="136"/>
      <c r="AO33" s="136"/>
      <c r="AP33" s="139"/>
      <c r="AQ33" s="135"/>
      <c r="AR33" s="136"/>
      <c r="AS33" s="136"/>
      <c r="AT33" s="136"/>
      <c r="AU33" s="136"/>
      <c r="AV33" s="140"/>
      <c r="AW33" s="140"/>
      <c r="AX33" s="140"/>
      <c r="AY33" s="140"/>
      <c r="AZ33" s="140"/>
      <c r="BA33" s="136"/>
      <c r="BB33" s="136"/>
      <c r="BC33" s="136"/>
      <c r="BD33" s="136"/>
      <c r="BE33" s="139"/>
      <c r="BF33" s="135"/>
      <c r="BG33" s="136"/>
      <c r="BH33" s="136"/>
      <c r="BI33" s="136"/>
      <c r="BJ33" s="136"/>
      <c r="BK33" s="141"/>
      <c r="BL33" s="141"/>
      <c r="BM33" s="141"/>
      <c r="BN33" s="141"/>
      <c r="BO33" s="141"/>
      <c r="BP33" s="136"/>
      <c r="BQ33" s="136"/>
      <c r="BR33" s="136"/>
      <c r="BS33" s="136"/>
      <c r="BT33" s="139"/>
      <c r="BU33" s="20"/>
      <c r="BV33" s="9"/>
    </row>
    <row r="34" ht="21.0" customHeight="1">
      <c r="B34" s="142" t="s">
        <v>79</v>
      </c>
      <c r="C34" s="143" t="s">
        <v>80</v>
      </c>
      <c r="D34" s="144" t="s">
        <v>46</v>
      </c>
      <c r="E34" s="145">
        <v>1.5</v>
      </c>
      <c r="F34" s="146">
        <v>1.5</v>
      </c>
      <c r="G34" s="147">
        <f t="shared" si="12"/>
        <v>0</v>
      </c>
      <c r="H34" s="148">
        <v>3.0</v>
      </c>
      <c r="I34" s="149"/>
      <c r="J34" s="150"/>
      <c r="K34" s="151"/>
      <c r="L34" s="100">
        <f t="shared" si="2"/>
        <v>1</v>
      </c>
      <c r="M34" s="152"/>
      <c r="N34" s="153"/>
      <c r="O34" s="154"/>
      <c r="P34" s="154"/>
      <c r="Q34" s="153"/>
      <c r="R34" s="155"/>
      <c r="S34" s="155"/>
      <c r="T34" s="155"/>
      <c r="U34" s="155"/>
      <c r="V34" s="155"/>
      <c r="W34" s="154"/>
      <c r="X34" s="154"/>
      <c r="Y34" s="154"/>
      <c r="Z34" s="154"/>
      <c r="AA34" s="156"/>
      <c r="AB34" s="152"/>
      <c r="AC34" s="154"/>
      <c r="AD34" s="154"/>
      <c r="AE34" s="154"/>
      <c r="AF34" s="137"/>
      <c r="AG34" s="157"/>
      <c r="AH34" s="157"/>
      <c r="AI34" s="157"/>
      <c r="AJ34" s="157"/>
      <c r="AK34" s="157"/>
      <c r="AL34" s="154"/>
      <c r="AM34" s="154"/>
      <c r="AN34" s="154"/>
      <c r="AO34" s="154"/>
      <c r="AP34" s="156"/>
      <c r="AQ34" s="152"/>
      <c r="AR34" s="154"/>
      <c r="AS34" s="154"/>
      <c r="AT34" s="154"/>
      <c r="AU34" s="154"/>
      <c r="AV34" s="158"/>
      <c r="AW34" s="158"/>
      <c r="AX34" s="158"/>
      <c r="AY34" s="158"/>
      <c r="AZ34" s="158"/>
      <c r="BA34" s="154"/>
      <c r="BB34" s="154"/>
      <c r="BC34" s="154"/>
      <c r="BD34" s="154"/>
      <c r="BE34" s="156"/>
      <c r="BF34" s="152"/>
      <c r="BG34" s="154"/>
      <c r="BH34" s="154"/>
      <c r="BI34" s="154"/>
      <c r="BJ34" s="154"/>
      <c r="BK34" s="159"/>
      <c r="BL34" s="159"/>
      <c r="BM34" s="159"/>
      <c r="BN34" s="159"/>
      <c r="BO34" s="159"/>
      <c r="BP34" s="154"/>
      <c r="BQ34" s="154"/>
      <c r="BR34" s="154"/>
      <c r="BS34" s="154"/>
      <c r="BT34" s="156"/>
      <c r="BU34" s="20"/>
      <c r="BV34" s="9"/>
    </row>
    <row r="35" ht="27.75" customHeight="1">
      <c r="B35" s="109" t="s">
        <v>81</v>
      </c>
      <c r="C35" s="124" t="s">
        <v>82</v>
      </c>
      <c r="D35" s="111"/>
      <c r="E35" s="79">
        <f t="shared" ref="E35:G35" si="14">SUM(E36:E38)</f>
        <v>3.5</v>
      </c>
      <c r="F35" s="80">
        <f t="shared" si="14"/>
        <v>3.5</v>
      </c>
      <c r="G35" s="81">
        <f t="shared" si="14"/>
        <v>0</v>
      </c>
      <c r="H35" s="112"/>
      <c r="I35" s="113"/>
      <c r="J35" s="114"/>
      <c r="K35" s="115"/>
      <c r="L35" s="86">
        <f t="shared" si="2"/>
        <v>1</v>
      </c>
      <c r="M35" s="87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9"/>
      <c r="AB35" s="87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9"/>
      <c r="AQ35" s="87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9"/>
      <c r="BF35" s="87"/>
      <c r="BG35" s="88"/>
      <c r="BH35" s="88"/>
      <c r="BI35" s="88"/>
      <c r="BJ35" s="88"/>
      <c r="BK35" s="88"/>
      <c r="BL35" s="88"/>
      <c r="BM35" s="88"/>
      <c r="BN35" s="88"/>
      <c r="BO35" s="88"/>
      <c r="BP35" s="88"/>
      <c r="BQ35" s="88"/>
      <c r="BR35" s="88"/>
      <c r="BS35" s="88"/>
      <c r="BT35" s="89"/>
      <c r="BU35" s="20"/>
      <c r="BV35" s="9"/>
    </row>
    <row r="36" ht="32.25" customHeight="1">
      <c r="B36" s="109" t="s">
        <v>83</v>
      </c>
      <c r="C36" s="91" t="s">
        <v>84</v>
      </c>
      <c r="D36" s="92" t="s">
        <v>85</v>
      </c>
      <c r="E36" s="93">
        <v>2.0</v>
      </c>
      <c r="F36" s="94">
        <v>2.0</v>
      </c>
      <c r="G36" s="95">
        <f t="shared" ref="G36:G38" si="15">E36-F36</f>
        <v>0</v>
      </c>
      <c r="H36" s="96">
        <v>3.0</v>
      </c>
      <c r="I36" s="97"/>
      <c r="J36" s="98"/>
      <c r="K36" s="99">
        <f t="shared" ref="K36:K38" si="16">J36-I36+1</f>
        <v>1</v>
      </c>
      <c r="L36" s="100">
        <f t="shared" si="2"/>
        <v>1</v>
      </c>
      <c r="M36" s="101"/>
      <c r="N36" s="103"/>
      <c r="O36" s="103"/>
      <c r="P36" s="103"/>
      <c r="Q36" s="103"/>
      <c r="R36" s="104"/>
      <c r="S36" s="104"/>
      <c r="T36" s="104"/>
      <c r="U36" s="104"/>
      <c r="V36" s="104"/>
      <c r="W36" s="103"/>
      <c r="X36" s="103"/>
      <c r="Y36" s="103"/>
      <c r="Z36" s="103"/>
      <c r="AA36" s="105"/>
      <c r="AB36" s="101"/>
      <c r="AC36" s="103"/>
      <c r="AD36" s="103"/>
      <c r="AE36" s="103"/>
      <c r="AF36" s="103"/>
      <c r="AG36" s="137"/>
      <c r="AH36" s="106"/>
      <c r="AI36" s="106"/>
      <c r="AJ36" s="106"/>
      <c r="AK36" s="106"/>
      <c r="AL36" s="103"/>
      <c r="AM36" s="103"/>
      <c r="AN36" s="103"/>
      <c r="AO36" s="103"/>
      <c r="AP36" s="105"/>
      <c r="AQ36" s="101"/>
      <c r="AR36" s="103"/>
      <c r="AS36" s="103"/>
      <c r="AT36" s="103"/>
      <c r="AU36" s="103"/>
      <c r="AV36" s="107"/>
      <c r="AW36" s="107"/>
      <c r="AX36" s="107"/>
      <c r="AY36" s="107"/>
      <c r="AZ36" s="107"/>
      <c r="BA36" s="103"/>
      <c r="BB36" s="103"/>
      <c r="BC36" s="103"/>
      <c r="BD36" s="103"/>
      <c r="BE36" s="105"/>
      <c r="BF36" s="101"/>
      <c r="BG36" s="103"/>
      <c r="BH36" s="103"/>
      <c r="BI36" s="103"/>
      <c r="BJ36" s="103"/>
      <c r="BK36" s="108"/>
      <c r="BL36" s="108"/>
      <c r="BM36" s="108"/>
      <c r="BN36" s="108"/>
      <c r="BO36" s="108"/>
      <c r="BP36" s="103"/>
      <c r="BQ36" s="103"/>
      <c r="BR36" s="103"/>
      <c r="BS36" s="103"/>
      <c r="BT36" s="105"/>
      <c r="BU36" s="20"/>
      <c r="BV36" s="9"/>
    </row>
    <row r="37" ht="22.5" customHeight="1">
      <c r="B37" s="109" t="s">
        <v>86</v>
      </c>
      <c r="C37" s="91" t="s">
        <v>87</v>
      </c>
      <c r="D37" s="92" t="s">
        <v>39</v>
      </c>
      <c r="E37" s="93">
        <v>0.5</v>
      </c>
      <c r="F37" s="94">
        <v>0.5</v>
      </c>
      <c r="G37" s="95">
        <f t="shared" si="15"/>
        <v>0</v>
      </c>
      <c r="H37" s="96">
        <v>3.0</v>
      </c>
      <c r="I37" s="97"/>
      <c r="J37" s="98"/>
      <c r="K37" s="99">
        <f t="shared" si="16"/>
        <v>1</v>
      </c>
      <c r="L37" s="100">
        <f t="shared" si="2"/>
        <v>1</v>
      </c>
      <c r="M37" s="101"/>
      <c r="N37" s="103"/>
      <c r="O37" s="103"/>
      <c r="P37" s="103"/>
      <c r="Q37" s="103"/>
      <c r="R37" s="104"/>
      <c r="S37" s="104"/>
      <c r="T37" s="104"/>
      <c r="U37" s="104"/>
      <c r="V37" s="104"/>
      <c r="W37" s="103"/>
      <c r="X37" s="103"/>
      <c r="Y37" s="103"/>
      <c r="Z37" s="103"/>
      <c r="AA37" s="105"/>
      <c r="AB37" s="101"/>
      <c r="AC37" s="103"/>
      <c r="AD37" s="103"/>
      <c r="AE37" s="103"/>
      <c r="AF37" s="103"/>
      <c r="AG37" s="137"/>
      <c r="AH37" s="106"/>
      <c r="AI37" s="106"/>
      <c r="AJ37" s="106"/>
      <c r="AK37" s="106"/>
      <c r="AL37" s="103"/>
      <c r="AM37" s="103"/>
      <c r="AN37" s="103"/>
      <c r="AO37" s="103"/>
      <c r="AP37" s="105"/>
      <c r="AQ37" s="101"/>
      <c r="AR37" s="103"/>
      <c r="AS37" s="103"/>
      <c r="AT37" s="103"/>
      <c r="AU37" s="103"/>
      <c r="AV37" s="107"/>
      <c r="AW37" s="107"/>
      <c r="AX37" s="107"/>
      <c r="AY37" s="107"/>
      <c r="AZ37" s="107"/>
      <c r="BA37" s="103"/>
      <c r="BB37" s="103"/>
      <c r="BC37" s="103"/>
      <c r="BD37" s="103"/>
      <c r="BE37" s="105"/>
      <c r="BF37" s="101"/>
      <c r="BG37" s="103"/>
      <c r="BH37" s="103"/>
      <c r="BI37" s="103"/>
      <c r="BJ37" s="103"/>
      <c r="BK37" s="108"/>
      <c r="BL37" s="108"/>
      <c r="BM37" s="108"/>
      <c r="BN37" s="108"/>
      <c r="BO37" s="108"/>
      <c r="BP37" s="103"/>
      <c r="BQ37" s="103"/>
      <c r="BR37" s="103"/>
      <c r="BS37" s="103"/>
      <c r="BT37" s="105"/>
      <c r="BU37" s="20"/>
      <c r="BV37" s="9"/>
    </row>
    <row r="38" ht="23.25" customHeight="1">
      <c r="B38" s="109" t="s">
        <v>88</v>
      </c>
      <c r="C38" s="91" t="s">
        <v>89</v>
      </c>
      <c r="D38" s="160" t="s">
        <v>42</v>
      </c>
      <c r="E38" s="93">
        <v>1.0</v>
      </c>
      <c r="F38" s="94">
        <v>1.0</v>
      </c>
      <c r="G38" s="95">
        <f t="shared" si="15"/>
        <v>0</v>
      </c>
      <c r="H38" s="96">
        <v>1.0</v>
      </c>
      <c r="I38" s="97"/>
      <c r="J38" s="98"/>
      <c r="K38" s="99">
        <f t="shared" si="16"/>
        <v>1</v>
      </c>
      <c r="L38" s="100">
        <f t="shared" si="2"/>
        <v>1</v>
      </c>
      <c r="M38" s="101"/>
      <c r="N38" s="103"/>
      <c r="O38" s="103"/>
      <c r="P38" s="103"/>
      <c r="Q38" s="103"/>
      <c r="R38" s="104"/>
      <c r="S38" s="104"/>
      <c r="T38" s="104"/>
      <c r="U38" s="104"/>
      <c r="V38" s="104"/>
      <c r="W38" s="103"/>
      <c r="X38" s="103"/>
      <c r="Y38" s="103"/>
      <c r="Z38" s="103"/>
      <c r="AA38" s="105"/>
      <c r="AB38" s="101"/>
      <c r="AC38" s="103"/>
      <c r="AD38" s="103"/>
      <c r="AE38" s="103"/>
      <c r="AF38" s="103"/>
      <c r="AG38" s="137"/>
      <c r="AH38" s="137"/>
      <c r="AI38" s="106"/>
      <c r="AJ38" s="106"/>
      <c r="AK38" s="106"/>
      <c r="AL38" s="103"/>
      <c r="AM38" s="103"/>
      <c r="AN38" s="103"/>
      <c r="AO38" s="103"/>
      <c r="AP38" s="105"/>
      <c r="AQ38" s="101"/>
      <c r="AR38" s="103"/>
      <c r="AS38" s="103"/>
      <c r="AT38" s="103"/>
      <c r="AU38" s="103"/>
      <c r="AV38" s="107"/>
      <c r="AW38" s="107"/>
      <c r="AX38" s="107"/>
      <c r="AY38" s="107"/>
      <c r="AZ38" s="107"/>
      <c r="BA38" s="103"/>
      <c r="BB38" s="103"/>
      <c r="BC38" s="103"/>
      <c r="BD38" s="103"/>
      <c r="BE38" s="105"/>
      <c r="BF38" s="101"/>
      <c r="BG38" s="103"/>
      <c r="BH38" s="103"/>
      <c r="BI38" s="103"/>
      <c r="BJ38" s="103"/>
      <c r="BK38" s="108"/>
      <c r="BL38" s="108"/>
      <c r="BM38" s="108"/>
      <c r="BN38" s="108"/>
      <c r="BO38" s="108"/>
      <c r="BP38" s="103"/>
      <c r="BQ38" s="103"/>
      <c r="BR38" s="103"/>
      <c r="BS38" s="103"/>
      <c r="BT38" s="105"/>
      <c r="BU38" s="20"/>
      <c r="BV38" s="9"/>
    </row>
    <row r="39" ht="32.25" customHeight="1">
      <c r="B39" s="109" t="s">
        <v>90</v>
      </c>
      <c r="C39" s="91" t="s">
        <v>91</v>
      </c>
      <c r="D39" s="92" t="s">
        <v>39</v>
      </c>
      <c r="E39" s="93">
        <v>0.5</v>
      </c>
      <c r="F39" s="94">
        <v>0.5</v>
      </c>
      <c r="G39" s="95"/>
      <c r="H39" s="96">
        <v>1.0</v>
      </c>
      <c r="I39" s="97"/>
      <c r="J39" s="98"/>
      <c r="K39" s="99"/>
      <c r="L39" s="100">
        <f t="shared" si="2"/>
        <v>1</v>
      </c>
      <c r="M39" s="101"/>
      <c r="N39" s="103"/>
      <c r="O39" s="103"/>
      <c r="P39" s="103"/>
      <c r="Q39" s="103"/>
      <c r="R39" s="104"/>
      <c r="S39" s="104"/>
      <c r="T39" s="104"/>
      <c r="U39" s="104"/>
      <c r="V39" s="104"/>
      <c r="W39" s="103"/>
      <c r="X39" s="103"/>
      <c r="Y39" s="103"/>
      <c r="Z39" s="103"/>
      <c r="AA39" s="105"/>
      <c r="AB39" s="101"/>
      <c r="AC39" s="103"/>
      <c r="AD39" s="103"/>
      <c r="AE39" s="103"/>
      <c r="AF39" s="103"/>
      <c r="AG39" s="106"/>
      <c r="AH39" s="137"/>
      <c r="AI39" s="106"/>
      <c r="AJ39" s="106"/>
      <c r="AK39" s="106"/>
      <c r="AL39" s="103"/>
      <c r="AM39" s="103"/>
      <c r="AN39" s="103"/>
      <c r="AO39" s="103"/>
      <c r="AP39" s="105"/>
      <c r="AQ39" s="101"/>
      <c r="AR39" s="103"/>
      <c r="AS39" s="103"/>
      <c r="AT39" s="103"/>
      <c r="AU39" s="103"/>
      <c r="AV39" s="107"/>
      <c r="AW39" s="107"/>
      <c r="AX39" s="107"/>
      <c r="AY39" s="107"/>
      <c r="AZ39" s="107"/>
      <c r="BA39" s="103"/>
      <c r="BB39" s="103"/>
      <c r="BC39" s="103"/>
      <c r="BD39" s="103"/>
      <c r="BE39" s="105"/>
      <c r="BF39" s="101"/>
      <c r="BG39" s="103"/>
      <c r="BH39" s="103"/>
      <c r="BI39" s="103"/>
      <c r="BJ39" s="103"/>
      <c r="BK39" s="108"/>
      <c r="BL39" s="108"/>
      <c r="BM39" s="108"/>
      <c r="BN39" s="108"/>
      <c r="BO39" s="108"/>
      <c r="BP39" s="103"/>
      <c r="BQ39" s="103"/>
      <c r="BR39" s="103"/>
      <c r="BS39" s="103"/>
      <c r="BT39" s="105"/>
      <c r="BU39" s="20"/>
      <c r="BV39" s="9"/>
    </row>
    <row r="40" ht="22.5" customHeight="1">
      <c r="B40" s="109" t="s">
        <v>92</v>
      </c>
      <c r="C40" s="110" t="s">
        <v>93</v>
      </c>
      <c r="D40" s="111"/>
      <c r="E40" s="79">
        <f t="shared" ref="E40:G40" si="17">SUM(E41:E43)</f>
        <v>3</v>
      </c>
      <c r="F40" s="80">
        <f t="shared" si="17"/>
        <v>3</v>
      </c>
      <c r="G40" s="81">
        <f t="shared" si="17"/>
        <v>0</v>
      </c>
      <c r="H40" s="112"/>
      <c r="I40" s="113"/>
      <c r="J40" s="114"/>
      <c r="K40" s="115"/>
      <c r="L40" s="86">
        <f t="shared" si="2"/>
        <v>1</v>
      </c>
      <c r="M40" s="87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9"/>
      <c r="AB40" s="87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9"/>
      <c r="AQ40" s="87"/>
      <c r="AR40" s="88"/>
      <c r="AS40" s="88"/>
      <c r="AT40" s="88"/>
      <c r="AU40" s="88"/>
      <c r="AV40" s="88"/>
      <c r="AW40" s="88"/>
      <c r="AX40" s="88"/>
      <c r="AY40" s="88"/>
      <c r="AZ40" s="88"/>
      <c r="BA40" s="88"/>
      <c r="BB40" s="88"/>
      <c r="BC40" s="88"/>
      <c r="BD40" s="88"/>
      <c r="BE40" s="89"/>
      <c r="BF40" s="87"/>
      <c r="BG40" s="88"/>
      <c r="BH40" s="88"/>
      <c r="BI40" s="88"/>
      <c r="BJ40" s="88"/>
      <c r="BK40" s="88"/>
      <c r="BL40" s="88"/>
      <c r="BM40" s="88"/>
      <c r="BN40" s="88"/>
      <c r="BO40" s="88"/>
      <c r="BP40" s="88"/>
      <c r="BQ40" s="88"/>
      <c r="BR40" s="88"/>
      <c r="BS40" s="88"/>
      <c r="BT40" s="89"/>
      <c r="BU40" s="20"/>
      <c r="BV40" s="9"/>
    </row>
    <row r="41" ht="32.25" customHeight="1">
      <c r="B41" s="109" t="s">
        <v>94</v>
      </c>
      <c r="C41" s="91" t="s">
        <v>95</v>
      </c>
      <c r="D41" s="92" t="s">
        <v>42</v>
      </c>
      <c r="E41" s="93">
        <v>2.0</v>
      </c>
      <c r="F41" s="94">
        <v>2.0</v>
      </c>
      <c r="G41" s="95">
        <f t="shared" ref="G41:G44" si="18">E41-F41</f>
        <v>0</v>
      </c>
      <c r="H41" s="96">
        <v>3.0</v>
      </c>
      <c r="I41" s="97"/>
      <c r="J41" s="98"/>
      <c r="K41" s="99">
        <f t="shared" ref="K41:K44" si="19">J41-I41+1</f>
        <v>1</v>
      </c>
      <c r="L41" s="100">
        <f t="shared" si="2"/>
        <v>1</v>
      </c>
      <c r="M41" s="101"/>
      <c r="N41" s="103"/>
      <c r="O41" s="103"/>
      <c r="P41" s="103"/>
      <c r="Q41" s="103"/>
      <c r="R41" s="104"/>
      <c r="S41" s="104"/>
      <c r="T41" s="104"/>
      <c r="U41" s="104"/>
      <c r="V41" s="104"/>
      <c r="W41" s="103"/>
      <c r="X41" s="103"/>
      <c r="Y41" s="103"/>
      <c r="Z41" s="103"/>
      <c r="AA41" s="105"/>
      <c r="AB41" s="101"/>
      <c r="AC41" s="103"/>
      <c r="AD41" s="103"/>
      <c r="AE41" s="103"/>
      <c r="AF41" s="103"/>
      <c r="AG41" s="106"/>
      <c r="AH41" s="137"/>
      <c r="AI41" s="106"/>
      <c r="AJ41" s="106"/>
      <c r="AK41" s="106"/>
      <c r="AL41" s="103"/>
      <c r="AM41" s="103"/>
      <c r="AN41" s="103"/>
      <c r="AO41" s="103"/>
      <c r="AP41" s="105"/>
      <c r="AQ41" s="101"/>
      <c r="AR41" s="103"/>
      <c r="AS41" s="103"/>
      <c r="AT41" s="103"/>
      <c r="AU41" s="103"/>
      <c r="AV41" s="107"/>
      <c r="AW41" s="107"/>
      <c r="AX41" s="107"/>
      <c r="AY41" s="107"/>
      <c r="AZ41" s="107"/>
      <c r="BA41" s="103"/>
      <c r="BB41" s="103"/>
      <c r="BC41" s="103"/>
      <c r="BD41" s="103"/>
      <c r="BE41" s="105"/>
      <c r="BF41" s="101"/>
      <c r="BG41" s="103"/>
      <c r="BH41" s="103"/>
      <c r="BI41" s="103"/>
      <c r="BJ41" s="103"/>
      <c r="BK41" s="108"/>
      <c r="BL41" s="108"/>
      <c r="BM41" s="108"/>
      <c r="BN41" s="108"/>
      <c r="BO41" s="108"/>
      <c r="BP41" s="103"/>
      <c r="BQ41" s="103"/>
      <c r="BR41" s="103"/>
      <c r="BS41" s="103"/>
      <c r="BT41" s="105"/>
      <c r="BU41" s="20"/>
      <c r="BV41" s="9"/>
    </row>
    <row r="42" ht="22.5" customHeight="1">
      <c r="B42" s="109" t="s">
        <v>96</v>
      </c>
      <c r="C42" s="91" t="s">
        <v>97</v>
      </c>
      <c r="D42" s="92" t="s">
        <v>39</v>
      </c>
      <c r="E42" s="93">
        <v>0.5</v>
      </c>
      <c r="F42" s="94">
        <v>0.5</v>
      </c>
      <c r="G42" s="95">
        <f t="shared" si="18"/>
        <v>0</v>
      </c>
      <c r="H42" s="96">
        <v>3.0</v>
      </c>
      <c r="I42" s="97"/>
      <c r="J42" s="98"/>
      <c r="K42" s="99">
        <f t="shared" si="19"/>
        <v>1</v>
      </c>
      <c r="L42" s="100">
        <f t="shared" si="2"/>
        <v>1</v>
      </c>
      <c r="M42" s="101"/>
      <c r="N42" s="103"/>
      <c r="O42" s="103"/>
      <c r="P42" s="103"/>
      <c r="Q42" s="103"/>
      <c r="R42" s="104"/>
      <c r="S42" s="104"/>
      <c r="T42" s="104"/>
      <c r="U42" s="104"/>
      <c r="V42" s="104"/>
      <c r="W42" s="103"/>
      <c r="X42" s="103"/>
      <c r="Y42" s="103"/>
      <c r="Z42" s="103"/>
      <c r="AA42" s="105"/>
      <c r="AB42" s="101"/>
      <c r="AC42" s="103"/>
      <c r="AD42" s="103"/>
      <c r="AE42" s="103"/>
      <c r="AF42" s="103"/>
      <c r="AG42" s="106"/>
      <c r="AH42" s="137"/>
      <c r="AI42" s="106"/>
      <c r="AJ42" s="106"/>
      <c r="AK42" s="106"/>
      <c r="AL42" s="103"/>
      <c r="AM42" s="103"/>
      <c r="AN42" s="103"/>
      <c r="AO42" s="103"/>
      <c r="AP42" s="105"/>
      <c r="AQ42" s="101"/>
      <c r="AR42" s="103"/>
      <c r="AS42" s="103"/>
      <c r="AT42" s="103"/>
      <c r="AU42" s="103"/>
      <c r="AV42" s="107"/>
      <c r="AW42" s="107"/>
      <c r="AX42" s="107"/>
      <c r="AY42" s="107"/>
      <c r="AZ42" s="107"/>
      <c r="BA42" s="103"/>
      <c r="BB42" s="103"/>
      <c r="BC42" s="103"/>
      <c r="BD42" s="103"/>
      <c r="BE42" s="105"/>
      <c r="BF42" s="101"/>
      <c r="BG42" s="103"/>
      <c r="BH42" s="103"/>
      <c r="BI42" s="103"/>
      <c r="BJ42" s="103"/>
      <c r="BK42" s="108"/>
      <c r="BL42" s="108"/>
      <c r="BM42" s="108"/>
      <c r="BN42" s="108"/>
      <c r="BO42" s="108"/>
      <c r="BP42" s="103"/>
      <c r="BQ42" s="103"/>
      <c r="BR42" s="103"/>
      <c r="BS42" s="103"/>
      <c r="BT42" s="105"/>
      <c r="BU42" s="20"/>
      <c r="BV42" s="9"/>
    </row>
    <row r="43" ht="32.25" customHeight="1">
      <c r="B43" s="109" t="s">
        <v>98</v>
      </c>
      <c r="C43" s="91" t="s">
        <v>99</v>
      </c>
      <c r="D43" s="160" t="s">
        <v>85</v>
      </c>
      <c r="E43" s="93">
        <v>0.5</v>
      </c>
      <c r="F43" s="94">
        <v>0.5</v>
      </c>
      <c r="G43" s="95">
        <f t="shared" si="18"/>
        <v>0</v>
      </c>
      <c r="H43" s="96">
        <v>3.0</v>
      </c>
      <c r="I43" s="97"/>
      <c r="J43" s="98"/>
      <c r="K43" s="99">
        <f t="shared" si="19"/>
        <v>1</v>
      </c>
      <c r="L43" s="100">
        <f t="shared" si="2"/>
        <v>1</v>
      </c>
      <c r="M43" s="101"/>
      <c r="N43" s="103"/>
      <c r="O43" s="103"/>
      <c r="P43" s="103"/>
      <c r="Q43" s="103"/>
      <c r="R43" s="104"/>
      <c r="S43" s="104"/>
      <c r="T43" s="104"/>
      <c r="U43" s="104"/>
      <c r="V43" s="104"/>
      <c r="W43" s="103"/>
      <c r="X43" s="103"/>
      <c r="Y43" s="103"/>
      <c r="Z43" s="103"/>
      <c r="AA43" s="105"/>
      <c r="AB43" s="101"/>
      <c r="AC43" s="103"/>
      <c r="AD43" s="103"/>
      <c r="AE43" s="103"/>
      <c r="AF43" s="103"/>
      <c r="AG43" s="106"/>
      <c r="AH43" s="106"/>
      <c r="AI43" s="137"/>
      <c r="AJ43" s="106"/>
      <c r="AK43" s="106"/>
      <c r="AL43" s="103"/>
      <c r="AM43" s="103"/>
      <c r="AN43" s="103"/>
      <c r="AO43" s="103"/>
      <c r="AP43" s="105"/>
      <c r="AQ43" s="101"/>
      <c r="AR43" s="103"/>
      <c r="AS43" s="103"/>
      <c r="AT43" s="103"/>
      <c r="AU43" s="103"/>
      <c r="AV43" s="107"/>
      <c r="AW43" s="107"/>
      <c r="AX43" s="107"/>
      <c r="AY43" s="107"/>
      <c r="AZ43" s="107"/>
      <c r="BA43" s="103"/>
      <c r="BB43" s="103"/>
      <c r="BC43" s="103"/>
      <c r="BD43" s="103"/>
      <c r="BE43" s="105"/>
      <c r="BF43" s="101"/>
      <c r="BG43" s="103"/>
      <c r="BH43" s="103"/>
      <c r="BI43" s="103"/>
      <c r="BJ43" s="103"/>
      <c r="BK43" s="108"/>
      <c r="BL43" s="108"/>
      <c r="BM43" s="108"/>
      <c r="BN43" s="108"/>
      <c r="BO43" s="108"/>
      <c r="BP43" s="103"/>
      <c r="BQ43" s="103"/>
      <c r="BR43" s="103"/>
      <c r="BS43" s="103"/>
      <c r="BT43" s="105"/>
      <c r="BU43" s="20"/>
      <c r="BV43" s="9"/>
    </row>
    <row r="44" ht="32.25" customHeight="1">
      <c r="B44" s="109" t="s">
        <v>100</v>
      </c>
      <c r="C44" s="91" t="s">
        <v>101</v>
      </c>
      <c r="D44" s="160" t="s">
        <v>42</v>
      </c>
      <c r="E44" s="93">
        <v>1.0</v>
      </c>
      <c r="F44" s="94">
        <v>1.0</v>
      </c>
      <c r="G44" s="95">
        <f t="shared" si="18"/>
        <v>0</v>
      </c>
      <c r="H44" s="96">
        <v>3.0</v>
      </c>
      <c r="I44" s="97"/>
      <c r="J44" s="98"/>
      <c r="K44" s="99">
        <f t="shared" si="19"/>
        <v>1</v>
      </c>
      <c r="L44" s="100">
        <f t="shared" si="2"/>
        <v>1</v>
      </c>
      <c r="M44" s="101"/>
      <c r="N44" s="103"/>
      <c r="O44" s="103"/>
      <c r="P44" s="103"/>
      <c r="Q44" s="103"/>
      <c r="R44" s="104"/>
      <c r="S44" s="104"/>
      <c r="T44" s="104"/>
      <c r="U44" s="104"/>
      <c r="V44" s="104"/>
      <c r="W44" s="103"/>
      <c r="X44" s="103"/>
      <c r="Y44" s="103"/>
      <c r="Z44" s="103"/>
      <c r="AA44" s="105"/>
      <c r="AB44" s="101"/>
      <c r="AC44" s="103"/>
      <c r="AD44" s="103"/>
      <c r="AE44" s="103"/>
      <c r="AF44" s="103"/>
      <c r="AG44" s="106"/>
      <c r="AH44" s="106"/>
      <c r="AI44" s="137"/>
      <c r="AJ44" s="106"/>
      <c r="AK44" s="106"/>
      <c r="AL44" s="103"/>
      <c r="AM44" s="103"/>
      <c r="AN44" s="103"/>
      <c r="AO44" s="103"/>
      <c r="AP44" s="105"/>
      <c r="AQ44" s="101"/>
      <c r="AR44" s="103"/>
      <c r="AS44" s="103"/>
      <c r="AT44" s="103"/>
      <c r="AU44" s="103"/>
      <c r="AV44" s="107"/>
      <c r="AW44" s="107"/>
      <c r="AX44" s="107"/>
      <c r="AY44" s="107"/>
      <c r="AZ44" s="107"/>
      <c r="BA44" s="103"/>
      <c r="BB44" s="103"/>
      <c r="BC44" s="103"/>
      <c r="BD44" s="103"/>
      <c r="BE44" s="105"/>
      <c r="BF44" s="101"/>
      <c r="BG44" s="103"/>
      <c r="BH44" s="103"/>
      <c r="BI44" s="103"/>
      <c r="BJ44" s="103"/>
      <c r="BK44" s="108"/>
      <c r="BL44" s="108"/>
      <c r="BM44" s="108"/>
      <c r="BN44" s="108"/>
      <c r="BO44" s="108"/>
      <c r="BP44" s="103"/>
      <c r="BQ44" s="103"/>
      <c r="BR44" s="103"/>
      <c r="BS44" s="103"/>
      <c r="BT44" s="105"/>
      <c r="BU44" s="20"/>
      <c r="BV44" s="9"/>
    </row>
    <row r="45" ht="22.5" customHeight="1">
      <c r="B45" s="20"/>
      <c r="C45" s="20"/>
      <c r="D45" s="20"/>
      <c r="E45" s="161" t="s">
        <v>29</v>
      </c>
      <c r="F45" s="161" t="s">
        <v>30</v>
      </c>
      <c r="G45" s="161" t="s">
        <v>31</v>
      </c>
      <c r="H45" s="161" t="s">
        <v>102</v>
      </c>
      <c r="I45" s="161" t="s">
        <v>103</v>
      </c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9"/>
    </row>
    <row r="46" ht="22.5" customHeight="1">
      <c r="B46" s="20"/>
      <c r="C46" s="8" t="s">
        <v>104</v>
      </c>
      <c r="D46" s="162" t="s">
        <v>105</v>
      </c>
      <c r="E46" s="163">
        <f t="shared" ref="E46:G46" si="20">SUM(E11:E14,E20:E21,E23:E24,E30:E33)</f>
        <v>17.5</v>
      </c>
      <c r="F46" s="163">
        <f t="shared" si="20"/>
        <v>17.5</v>
      </c>
      <c r="G46" s="163">
        <f t="shared" si="20"/>
        <v>0</v>
      </c>
      <c r="H46" s="164">
        <v>60.0</v>
      </c>
      <c r="I46" s="165">
        <f>E46/H46</f>
        <v>0.2916666667</v>
      </c>
      <c r="J46" s="20"/>
      <c r="K46" s="20"/>
      <c r="L46" s="166" t="s">
        <v>106</v>
      </c>
      <c r="M46" s="167">
        <v>1.0</v>
      </c>
      <c r="N46" s="167">
        <v>2.0</v>
      </c>
      <c r="O46" s="167">
        <v>3.0</v>
      </c>
      <c r="P46" s="167">
        <v>4.0</v>
      </c>
      <c r="Q46" s="167">
        <v>5.0</v>
      </c>
      <c r="R46" s="167">
        <v>6.0</v>
      </c>
      <c r="S46" s="167">
        <v>7.0</v>
      </c>
      <c r="T46" s="167">
        <v>8.0</v>
      </c>
      <c r="U46" s="167">
        <v>9.0</v>
      </c>
      <c r="V46" s="167">
        <v>10.0</v>
      </c>
      <c r="W46" s="167">
        <v>11.0</v>
      </c>
      <c r="X46" s="167">
        <v>12.0</v>
      </c>
      <c r="Y46" s="167">
        <v>13.0</v>
      </c>
      <c r="Z46" s="167">
        <v>14.0</v>
      </c>
      <c r="AA46" s="167">
        <v>15.0</v>
      </c>
      <c r="AB46" s="167">
        <v>16.0</v>
      </c>
      <c r="AC46" s="167">
        <v>17.0</v>
      </c>
      <c r="AD46" s="167">
        <v>18.0</v>
      </c>
      <c r="AE46" s="167">
        <v>19.0</v>
      </c>
      <c r="AF46" s="167">
        <v>20.0</v>
      </c>
      <c r="AG46" s="167">
        <v>21.0</v>
      </c>
      <c r="AH46" s="167">
        <v>22.0</v>
      </c>
      <c r="AI46" s="167">
        <v>23.0</v>
      </c>
      <c r="AJ46" s="167">
        <v>24.0</v>
      </c>
      <c r="AK46" s="167">
        <v>25.0</v>
      </c>
      <c r="AL46" s="167">
        <v>26.0</v>
      </c>
      <c r="AM46" s="167">
        <v>27.0</v>
      </c>
      <c r="AN46" s="167">
        <v>28.0</v>
      </c>
      <c r="AO46" s="167">
        <v>29.0</v>
      </c>
      <c r="AP46" s="167">
        <v>30.0</v>
      </c>
      <c r="AQ46" s="167">
        <v>31.0</v>
      </c>
      <c r="AR46" s="167">
        <v>32.0</v>
      </c>
      <c r="AS46" s="167">
        <v>33.0</v>
      </c>
      <c r="AT46" s="167">
        <v>34.0</v>
      </c>
      <c r="AU46" s="167">
        <v>35.0</v>
      </c>
      <c r="AV46" s="167">
        <v>36.0</v>
      </c>
      <c r="AW46" s="167">
        <v>37.0</v>
      </c>
      <c r="AX46" s="167">
        <v>38.0</v>
      </c>
      <c r="AY46" s="167">
        <v>39.0</v>
      </c>
      <c r="AZ46" s="167">
        <v>40.0</v>
      </c>
      <c r="BA46" s="167">
        <v>41.0</v>
      </c>
      <c r="BB46" s="167">
        <v>42.0</v>
      </c>
      <c r="BC46" s="167">
        <v>43.0</v>
      </c>
      <c r="BD46" s="167">
        <v>44.0</v>
      </c>
      <c r="BE46" s="167">
        <v>45.0</v>
      </c>
      <c r="BF46" s="167">
        <v>46.0</v>
      </c>
      <c r="BG46" s="167">
        <v>47.0</v>
      </c>
      <c r="BH46" s="167">
        <v>48.0</v>
      </c>
      <c r="BI46" s="167">
        <v>49.0</v>
      </c>
      <c r="BJ46" s="167">
        <v>50.0</v>
      </c>
      <c r="BK46" s="167">
        <v>51.0</v>
      </c>
      <c r="BL46" s="167">
        <v>52.0</v>
      </c>
      <c r="BM46" s="167">
        <v>53.0</v>
      </c>
      <c r="BN46" s="167">
        <v>54.0</v>
      </c>
      <c r="BO46" s="167">
        <v>55.0</v>
      </c>
      <c r="BP46" s="167">
        <v>56.0</v>
      </c>
      <c r="BQ46" s="167">
        <v>57.0</v>
      </c>
      <c r="BR46" s="167">
        <v>58.0</v>
      </c>
      <c r="BS46" s="167">
        <v>59.0</v>
      </c>
      <c r="BT46" s="167">
        <v>60.0</v>
      </c>
      <c r="BU46" s="20"/>
      <c r="BV46" s="168" t="s">
        <v>107</v>
      </c>
    </row>
    <row r="47" ht="22.5" customHeight="1">
      <c r="B47" s="20"/>
      <c r="C47" s="20"/>
      <c r="D47" s="20"/>
      <c r="E47" s="20"/>
      <c r="F47" s="20"/>
      <c r="G47" s="20"/>
      <c r="H47" s="169" t="s">
        <v>108</v>
      </c>
      <c r="I47" s="20"/>
      <c r="J47" s="20"/>
      <c r="K47" s="20"/>
      <c r="L47" s="166" t="s">
        <v>109</v>
      </c>
      <c r="M47" s="170">
        <f>E46</f>
        <v>17.5</v>
      </c>
      <c r="N47" s="171">
        <f>M47-I46</f>
        <v>17.20833333</v>
      </c>
      <c r="O47" s="171">
        <f>N47-I46</f>
        <v>16.91666667</v>
      </c>
      <c r="P47" s="171">
        <f>O47-I46</f>
        <v>16.625</v>
      </c>
      <c r="Q47" s="171">
        <f>P47-I46</f>
        <v>16.33333333</v>
      </c>
      <c r="R47" s="171">
        <f>Q47-I46</f>
        <v>16.04166667</v>
      </c>
      <c r="S47" s="171">
        <f>R47-I46</f>
        <v>15.75</v>
      </c>
      <c r="T47" s="171">
        <f>S47-I46</f>
        <v>15.45833333</v>
      </c>
      <c r="U47" s="171">
        <f>T47-I46</f>
        <v>15.16666667</v>
      </c>
      <c r="V47" s="171">
        <f>U47-I46</f>
        <v>14.875</v>
      </c>
      <c r="W47" s="171">
        <f>V47-I46</f>
        <v>14.58333333</v>
      </c>
      <c r="X47" s="171">
        <f>W47-I46</f>
        <v>14.29166667</v>
      </c>
      <c r="Y47" s="171">
        <f>X47-I46</f>
        <v>14</v>
      </c>
      <c r="Z47" s="171">
        <f>Y47-I46</f>
        <v>13.70833333</v>
      </c>
      <c r="AA47" s="171">
        <f>Z47-I46</f>
        <v>13.41666667</v>
      </c>
      <c r="AB47" s="171">
        <f>AA47-I46</f>
        <v>13.125</v>
      </c>
      <c r="AC47" s="171">
        <f>AB47-I46</f>
        <v>12.83333333</v>
      </c>
      <c r="AD47" s="171">
        <f>AC47-I46</f>
        <v>12.54166667</v>
      </c>
      <c r="AE47" s="171">
        <f>AD47-I46</f>
        <v>12.25</v>
      </c>
      <c r="AF47" s="171">
        <f>AE47-I46</f>
        <v>11.95833333</v>
      </c>
      <c r="AG47" s="171">
        <f>AF47-I46</f>
        <v>11.66666667</v>
      </c>
      <c r="AH47" s="171">
        <f>AG47-I46</f>
        <v>11.375</v>
      </c>
      <c r="AI47" s="171">
        <f>AH47-I46</f>
        <v>11.08333333</v>
      </c>
      <c r="AJ47" s="171">
        <f>AI47-I46</f>
        <v>10.79166667</v>
      </c>
      <c r="AK47" s="171">
        <f>AJ47-I46</f>
        <v>10.5</v>
      </c>
      <c r="AL47" s="171">
        <f>AK47-I46</f>
        <v>10.20833333</v>
      </c>
      <c r="AM47" s="171">
        <f>AL47-I46</f>
        <v>9.916666667</v>
      </c>
      <c r="AN47" s="171">
        <f>AM47-I46</f>
        <v>9.625</v>
      </c>
      <c r="AO47" s="171">
        <f>AN47-I46</f>
        <v>9.333333333</v>
      </c>
      <c r="AP47" s="171">
        <f>AO47-I46</f>
        <v>9.041666667</v>
      </c>
      <c r="AQ47" s="171">
        <f>AP47-I46</f>
        <v>8.75</v>
      </c>
      <c r="AR47" s="171">
        <f>AQ47-I46</f>
        <v>8.458333333</v>
      </c>
      <c r="AS47" s="171">
        <f>AR47-I46</f>
        <v>8.166666667</v>
      </c>
      <c r="AT47" s="171">
        <f>AS47-I46</f>
        <v>7.875</v>
      </c>
      <c r="AU47" s="171">
        <f>AT47-I46</f>
        <v>7.583333333</v>
      </c>
      <c r="AV47" s="171">
        <f>AU47-I46</f>
        <v>7.291666667</v>
      </c>
      <c r="AW47" s="171">
        <f>AV47-I46</f>
        <v>7</v>
      </c>
      <c r="AX47" s="171">
        <f>AW47-I46</f>
        <v>6.708333333</v>
      </c>
      <c r="AY47" s="171">
        <f>AX47-I46</f>
        <v>6.416666667</v>
      </c>
      <c r="AZ47" s="171">
        <f>AY47-I46</f>
        <v>6.125</v>
      </c>
      <c r="BA47" s="171">
        <f>AZ47-I46</f>
        <v>5.833333333</v>
      </c>
      <c r="BB47" s="171">
        <f>BA47-I46</f>
        <v>5.541666667</v>
      </c>
      <c r="BC47" s="171">
        <f>BB47-I46</f>
        <v>5.25</v>
      </c>
      <c r="BD47" s="171">
        <f>BC47-I46</f>
        <v>4.958333333</v>
      </c>
      <c r="BE47" s="171">
        <f>BD47-I46</f>
        <v>4.666666667</v>
      </c>
      <c r="BF47" s="171">
        <f>BE47-I46</f>
        <v>4.375</v>
      </c>
      <c r="BG47" s="171">
        <f>BF47-I46</f>
        <v>4.083333333</v>
      </c>
      <c r="BH47" s="171">
        <f>BG47-I46</f>
        <v>3.791666667</v>
      </c>
      <c r="BI47" s="171">
        <f>BH47-I46</f>
        <v>3.5</v>
      </c>
      <c r="BJ47" s="171">
        <f>BI47-I46</f>
        <v>3.208333333</v>
      </c>
      <c r="BK47" s="171">
        <f>BJ47-I46</f>
        <v>2.916666667</v>
      </c>
      <c r="BL47" s="171">
        <f>BK47-I46</f>
        <v>2.625</v>
      </c>
      <c r="BM47" s="171">
        <f>BL47-I46</f>
        <v>2.333333333</v>
      </c>
      <c r="BN47" s="171">
        <f>BM47-I46</f>
        <v>2.041666667</v>
      </c>
      <c r="BO47" s="171">
        <f>BN47-I46</f>
        <v>1.75</v>
      </c>
      <c r="BP47" s="171">
        <f>BO47-I46</f>
        <v>1.458333333</v>
      </c>
      <c r="BQ47" s="171">
        <f>BP47-I46</f>
        <v>1.166666667</v>
      </c>
      <c r="BR47" s="171">
        <f>BQ47-I46</f>
        <v>0.875</v>
      </c>
      <c r="BS47" s="171">
        <f>BR47-I46</f>
        <v>0.5833333333</v>
      </c>
      <c r="BT47" s="171">
        <f>BS47-I46</f>
        <v>0.2916666667</v>
      </c>
      <c r="BU47" s="20"/>
      <c r="BV47" s="172" t="s">
        <v>110</v>
      </c>
    </row>
    <row r="48" ht="22.5" customHeight="1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166" t="s">
        <v>29</v>
      </c>
      <c r="M48" s="170">
        <f>E46</f>
        <v>17.5</v>
      </c>
      <c r="N48" s="170">
        <f t="shared" ref="N48:BT48" si="21">M50</f>
        <v>9.5</v>
      </c>
      <c r="O48" s="170">
        <f t="shared" si="21"/>
        <v>-10.5</v>
      </c>
      <c r="P48" s="170">
        <f t="shared" si="21"/>
        <v>-40.5</v>
      </c>
      <c r="Q48" s="170">
        <f t="shared" si="21"/>
        <v>-80.5</v>
      </c>
      <c r="R48" s="170">
        <f t="shared" si="21"/>
        <v>-100.5</v>
      </c>
      <c r="S48" s="170">
        <f t="shared" si="21"/>
        <v>-111.5</v>
      </c>
      <c r="T48" s="170">
        <f t="shared" si="21"/>
        <v>-127.5</v>
      </c>
      <c r="U48" s="170">
        <f t="shared" si="21"/>
        <v>-169.5</v>
      </c>
      <c r="V48" s="170">
        <f t="shared" si="21"/>
        <v>-214.5</v>
      </c>
      <c r="W48" s="170">
        <f t="shared" si="21"/>
        <v>-234.5</v>
      </c>
      <c r="X48" s="170">
        <f t="shared" si="21"/>
        <v>-244.5</v>
      </c>
      <c r="Y48" s="170">
        <f t="shared" si="21"/>
        <v>-260.5</v>
      </c>
      <c r="Z48" s="170">
        <f t="shared" si="21"/>
        <v>-284.5</v>
      </c>
      <c r="AA48" s="170">
        <f t="shared" si="21"/>
        <v>-332.5</v>
      </c>
      <c r="AB48" s="170">
        <f t="shared" si="21"/>
        <v>-352.5</v>
      </c>
      <c r="AC48" s="170">
        <f t="shared" si="21"/>
        <v>-356.5</v>
      </c>
      <c r="AD48" s="170">
        <f t="shared" si="21"/>
        <v>-361.5</v>
      </c>
      <c r="AE48" s="170">
        <f t="shared" si="21"/>
        <v>-365.5</v>
      </c>
      <c r="AF48" s="170">
        <f t="shared" si="21"/>
        <v>-373.5</v>
      </c>
      <c r="AG48" s="170">
        <f t="shared" si="21"/>
        <v>-381.5</v>
      </c>
      <c r="AH48" s="170">
        <f t="shared" si="21"/>
        <v>-386.5</v>
      </c>
      <c r="AI48" s="170">
        <f t="shared" si="21"/>
        <v>-391.5</v>
      </c>
      <c r="AJ48" s="170">
        <f t="shared" si="21"/>
        <v>-396.5</v>
      </c>
      <c r="AK48" s="170">
        <f t="shared" si="21"/>
        <v>-399.5</v>
      </c>
      <c r="AL48" s="170">
        <f t="shared" si="21"/>
        <v>-401.5</v>
      </c>
      <c r="AM48" s="170">
        <f t="shared" si="21"/>
        <v>-401.5</v>
      </c>
      <c r="AN48" s="170">
        <f t="shared" si="21"/>
        <v>-401.5</v>
      </c>
      <c r="AO48" s="170">
        <f t="shared" si="21"/>
        <v>-401.5</v>
      </c>
      <c r="AP48" s="170">
        <f t="shared" si="21"/>
        <v>-401.5</v>
      </c>
      <c r="AQ48" s="170">
        <f t="shared" si="21"/>
        <v>-401.5</v>
      </c>
      <c r="AR48" s="170">
        <f t="shared" si="21"/>
        <v>-401.5</v>
      </c>
      <c r="AS48" s="170">
        <f t="shared" si="21"/>
        <v>-401.5</v>
      </c>
      <c r="AT48" s="170">
        <f t="shared" si="21"/>
        <v>-401.5</v>
      </c>
      <c r="AU48" s="170">
        <f t="shared" si="21"/>
        <v>-401.5</v>
      </c>
      <c r="AV48" s="170">
        <f t="shared" si="21"/>
        <v>-401.5</v>
      </c>
      <c r="AW48" s="170">
        <f t="shared" si="21"/>
        <v>-401.5</v>
      </c>
      <c r="AX48" s="170">
        <f t="shared" si="21"/>
        <v>-401.5</v>
      </c>
      <c r="AY48" s="170">
        <f t="shared" si="21"/>
        <v>-401.5</v>
      </c>
      <c r="AZ48" s="170">
        <f t="shared" si="21"/>
        <v>-401.5</v>
      </c>
      <c r="BA48" s="170">
        <f t="shared" si="21"/>
        <v>-401.5</v>
      </c>
      <c r="BB48" s="170">
        <f t="shared" si="21"/>
        <v>-401.5</v>
      </c>
      <c r="BC48" s="170">
        <f t="shared" si="21"/>
        <v>-401.5</v>
      </c>
      <c r="BD48" s="170">
        <f t="shared" si="21"/>
        <v>-401.5</v>
      </c>
      <c r="BE48" s="170">
        <f t="shared" si="21"/>
        <v>-401.5</v>
      </c>
      <c r="BF48" s="170">
        <f t="shared" si="21"/>
        <v>-401.5</v>
      </c>
      <c r="BG48" s="170">
        <f t="shared" si="21"/>
        <v>-401.5</v>
      </c>
      <c r="BH48" s="170">
        <f t="shared" si="21"/>
        <v>-401.5</v>
      </c>
      <c r="BI48" s="170">
        <f t="shared" si="21"/>
        <v>-401.5</v>
      </c>
      <c r="BJ48" s="170">
        <f t="shared" si="21"/>
        <v>-401.5</v>
      </c>
      <c r="BK48" s="170">
        <f t="shared" si="21"/>
        <v>-401.5</v>
      </c>
      <c r="BL48" s="170">
        <f t="shared" si="21"/>
        <v>-401.5</v>
      </c>
      <c r="BM48" s="170">
        <f t="shared" si="21"/>
        <v>-401.5</v>
      </c>
      <c r="BN48" s="170">
        <f t="shared" si="21"/>
        <v>-401.5</v>
      </c>
      <c r="BO48" s="170">
        <f t="shared" si="21"/>
        <v>-401.5</v>
      </c>
      <c r="BP48" s="170">
        <f t="shared" si="21"/>
        <v>-401.5</v>
      </c>
      <c r="BQ48" s="170">
        <f t="shared" si="21"/>
        <v>-401.5</v>
      </c>
      <c r="BR48" s="170">
        <f t="shared" si="21"/>
        <v>-401.5</v>
      </c>
      <c r="BS48" s="170">
        <f t="shared" si="21"/>
        <v>-401.5</v>
      </c>
      <c r="BT48" s="170">
        <f t="shared" si="21"/>
        <v>-401.5</v>
      </c>
      <c r="BU48" s="20"/>
      <c r="BV48" s="173">
        <f t="shared" ref="BV48:BV50" si="22">SUM(M48:BT48)</f>
        <v>-20002</v>
      </c>
    </row>
    <row r="49" ht="22.5" customHeight="1">
      <c r="B49" s="20"/>
      <c r="C49" s="20"/>
      <c r="D49" s="20"/>
      <c r="E49" s="20"/>
      <c r="F49" s="20"/>
      <c r="G49" s="20"/>
      <c r="H49" s="20"/>
      <c r="I49" s="20"/>
      <c r="J49" s="20"/>
      <c r="K49" s="174" t="s">
        <v>111</v>
      </c>
      <c r="L49" s="166" t="s">
        <v>112</v>
      </c>
      <c r="M49" s="175">
        <v>8.0</v>
      </c>
      <c r="N49" s="175">
        <v>20.0</v>
      </c>
      <c r="O49" s="175">
        <v>30.0</v>
      </c>
      <c r="P49" s="175">
        <v>40.0</v>
      </c>
      <c r="Q49" s="175">
        <v>20.0</v>
      </c>
      <c r="R49" s="175">
        <v>11.0</v>
      </c>
      <c r="S49" s="175">
        <v>16.0</v>
      </c>
      <c r="T49" s="175">
        <v>42.0</v>
      </c>
      <c r="U49" s="175">
        <v>45.0</v>
      </c>
      <c r="V49" s="175">
        <v>20.0</v>
      </c>
      <c r="W49" s="175">
        <v>10.0</v>
      </c>
      <c r="X49" s="175">
        <v>16.0</v>
      </c>
      <c r="Y49" s="175">
        <v>24.0</v>
      </c>
      <c r="Z49" s="175">
        <v>48.0</v>
      </c>
      <c r="AA49" s="175">
        <v>20.0</v>
      </c>
      <c r="AB49" s="175">
        <v>4.0</v>
      </c>
      <c r="AC49" s="175">
        <v>5.0</v>
      </c>
      <c r="AD49" s="175">
        <v>4.0</v>
      </c>
      <c r="AE49" s="175">
        <v>8.0</v>
      </c>
      <c r="AF49" s="175">
        <v>8.0</v>
      </c>
      <c r="AG49" s="175">
        <v>5.0</v>
      </c>
      <c r="AH49" s="175">
        <v>5.0</v>
      </c>
      <c r="AI49" s="175">
        <v>5.0</v>
      </c>
      <c r="AJ49" s="175">
        <v>3.0</v>
      </c>
      <c r="AK49" s="175">
        <v>2.0</v>
      </c>
      <c r="AL49" s="175"/>
      <c r="AM49" s="175"/>
      <c r="AN49" s="175"/>
      <c r="AO49" s="175"/>
      <c r="AP49" s="175"/>
      <c r="AQ49" s="175"/>
      <c r="AR49" s="175"/>
      <c r="AS49" s="175"/>
      <c r="AT49" s="175"/>
      <c r="AU49" s="175"/>
      <c r="AV49" s="175"/>
      <c r="AW49" s="175"/>
      <c r="AX49" s="175"/>
      <c r="AY49" s="175"/>
      <c r="AZ49" s="175"/>
      <c r="BA49" s="175"/>
      <c r="BB49" s="175"/>
      <c r="BC49" s="175"/>
      <c r="BD49" s="175"/>
      <c r="BE49" s="175"/>
      <c r="BF49" s="175"/>
      <c r="BG49" s="175"/>
      <c r="BH49" s="175"/>
      <c r="BI49" s="175"/>
      <c r="BJ49" s="175"/>
      <c r="BK49" s="175"/>
      <c r="BL49" s="175"/>
      <c r="BM49" s="175"/>
      <c r="BN49" s="175"/>
      <c r="BO49" s="175"/>
      <c r="BP49" s="175"/>
      <c r="BQ49" s="175"/>
      <c r="BR49" s="175"/>
      <c r="BS49" s="175"/>
      <c r="BT49" s="175"/>
      <c r="BU49" s="20"/>
      <c r="BV49" s="176">
        <f t="shared" si="22"/>
        <v>419</v>
      </c>
    </row>
    <row r="50" ht="22.5" customHeight="1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166" t="s">
        <v>113</v>
      </c>
      <c r="M50" s="170">
        <f t="shared" ref="M50:BT50" si="23">M48-M49</f>
        <v>9.5</v>
      </c>
      <c r="N50" s="170">
        <f t="shared" si="23"/>
        <v>-10.5</v>
      </c>
      <c r="O50" s="170">
        <f t="shared" si="23"/>
        <v>-40.5</v>
      </c>
      <c r="P50" s="170">
        <f t="shared" si="23"/>
        <v>-80.5</v>
      </c>
      <c r="Q50" s="170">
        <f t="shared" si="23"/>
        <v>-100.5</v>
      </c>
      <c r="R50" s="170">
        <f t="shared" si="23"/>
        <v>-111.5</v>
      </c>
      <c r="S50" s="170">
        <f t="shared" si="23"/>
        <v>-127.5</v>
      </c>
      <c r="T50" s="170">
        <f t="shared" si="23"/>
        <v>-169.5</v>
      </c>
      <c r="U50" s="170">
        <f t="shared" si="23"/>
        <v>-214.5</v>
      </c>
      <c r="V50" s="170">
        <f t="shared" si="23"/>
        <v>-234.5</v>
      </c>
      <c r="W50" s="170">
        <f t="shared" si="23"/>
        <v>-244.5</v>
      </c>
      <c r="X50" s="170">
        <f t="shared" si="23"/>
        <v>-260.5</v>
      </c>
      <c r="Y50" s="170">
        <f t="shared" si="23"/>
        <v>-284.5</v>
      </c>
      <c r="Z50" s="170">
        <f t="shared" si="23"/>
        <v>-332.5</v>
      </c>
      <c r="AA50" s="170">
        <f t="shared" si="23"/>
        <v>-352.5</v>
      </c>
      <c r="AB50" s="170">
        <f t="shared" si="23"/>
        <v>-356.5</v>
      </c>
      <c r="AC50" s="170">
        <f t="shared" si="23"/>
        <v>-361.5</v>
      </c>
      <c r="AD50" s="170">
        <f t="shared" si="23"/>
        <v>-365.5</v>
      </c>
      <c r="AE50" s="170">
        <f t="shared" si="23"/>
        <v>-373.5</v>
      </c>
      <c r="AF50" s="170">
        <f t="shared" si="23"/>
        <v>-381.5</v>
      </c>
      <c r="AG50" s="170">
        <f t="shared" si="23"/>
        <v>-386.5</v>
      </c>
      <c r="AH50" s="170">
        <f t="shared" si="23"/>
        <v>-391.5</v>
      </c>
      <c r="AI50" s="170">
        <f t="shared" si="23"/>
        <v>-396.5</v>
      </c>
      <c r="AJ50" s="170">
        <f t="shared" si="23"/>
        <v>-399.5</v>
      </c>
      <c r="AK50" s="170">
        <f t="shared" si="23"/>
        <v>-401.5</v>
      </c>
      <c r="AL50" s="170">
        <f t="shared" si="23"/>
        <v>-401.5</v>
      </c>
      <c r="AM50" s="170">
        <f t="shared" si="23"/>
        <v>-401.5</v>
      </c>
      <c r="AN50" s="170">
        <f t="shared" si="23"/>
        <v>-401.5</v>
      </c>
      <c r="AO50" s="170">
        <f t="shared" si="23"/>
        <v>-401.5</v>
      </c>
      <c r="AP50" s="170">
        <f t="shared" si="23"/>
        <v>-401.5</v>
      </c>
      <c r="AQ50" s="170">
        <f t="shared" si="23"/>
        <v>-401.5</v>
      </c>
      <c r="AR50" s="170">
        <f t="shared" si="23"/>
        <v>-401.5</v>
      </c>
      <c r="AS50" s="170">
        <f t="shared" si="23"/>
        <v>-401.5</v>
      </c>
      <c r="AT50" s="170">
        <f t="shared" si="23"/>
        <v>-401.5</v>
      </c>
      <c r="AU50" s="170">
        <f t="shared" si="23"/>
        <v>-401.5</v>
      </c>
      <c r="AV50" s="170">
        <f t="shared" si="23"/>
        <v>-401.5</v>
      </c>
      <c r="AW50" s="170">
        <f t="shared" si="23"/>
        <v>-401.5</v>
      </c>
      <c r="AX50" s="170">
        <f t="shared" si="23"/>
        <v>-401.5</v>
      </c>
      <c r="AY50" s="170">
        <f t="shared" si="23"/>
        <v>-401.5</v>
      </c>
      <c r="AZ50" s="170">
        <f t="shared" si="23"/>
        <v>-401.5</v>
      </c>
      <c r="BA50" s="170">
        <f t="shared" si="23"/>
        <v>-401.5</v>
      </c>
      <c r="BB50" s="170">
        <f t="shared" si="23"/>
        <v>-401.5</v>
      </c>
      <c r="BC50" s="170">
        <f t="shared" si="23"/>
        <v>-401.5</v>
      </c>
      <c r="BD50" s="170">
        <f t="shared" si="23"/>
        <v>-401.5</v>
      </c>
      <c r="BE50" s="170">
        <f t="shared" si="23"/>
        <v>-401.5</v>
      </c>
      <c r="BF50" s="170">
        <f t="shared" si="23"/>
        <v>-401.5</v>
      </c>
      <c r="BG50" s="170">
        <f t="shared" si="23"/>
        <v>-401.5</v>
      </c>
      <c r="BH50" s="170">
        <f t="shared" si="23"/>
        <v>-401.5</v>
      </c>
      <c r="BI50" s="170">
        <f t="shared" si="23"/>
        <v>-401.5</v>
      </c>
      <c r="BJ50" s="170">
        <f t="shared" si="23"/>
        <v>-401.5</v>
      </c>
      <c r="BK50" s="170">
        <f t="shared" si="23"/>
        <v>-401.5</v>
      </c>
      <c r="BL50" s="170">
        <f t="shared" si="23"/>
        <v>-401.5</v>
      </c>
      <c r="BM50" s="170">
        <f t="shared" si="23"/>
        <v>-401.5</v>
      </c>
      <c r="BN50" s="170">
        <f t="shared" si="23"/>
        <v>-401.5</v>
      </c>
      <c r="BO50" s="170">
        <f t="shared" si="23"/>
        <v>-401.5</v>
      </c>
      <c r="BP50" s="170">
        <f t="shared" si="23"/>
        <v>-401.5</v>
      </c>
      <c r="BQ50" s="170">
        <f t="shared" si="23"/>
        <v>-401.5</v>
      </c>
      <c r="BR50" s="170">
        <f t="shared" si="23"/>
        <v>-401.5</v>
      </c>
      <c r="BS50" s="170">
        <f t="shared" si="23"/>
        <v>-401.5</v>
      </c>
      <c r="BT50" s="170">
        <f t="shared" si="23"/>
        <v>-401.5</v>
      </c>
      <c r="BU50" s="20"/>
      <c r="BV50" s="176">
        <f t="shared" si="22"/>
        <v>-20421</v>
      </c>
    </row>
    <row r="51">
      <c r="C51" s="8" t="s">
        <v>114</v>
      </c>
      <c r="BV51" s="5"/>
    </row>
    <row r="52" ht="381.75" customHeight="1">
      <c r="BV52" s="5"/>
    </row>
    <row r="53" ht="216.75" customHeight="1">
      <c r="BV53" s="5"/>
    </row>
    <row r="54">
      <c r="BV54" s="5"/>
    </row>
    <row r="55" ht="49.5" customHeight="1">
      <c r="B55" s="177" t="s">
        <v>115</v>
      </c>
      <c r="C55" s="178"/>
      <c r="D55" s="178"/>
      <c r="E55" s="178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  <c r="AE55" s="178"/>
      <c r="AF55" s="178"/>
      <c r="AG55" s="178"/>
      <c r="AH55" s="178"/>
      <c r="AI55" s="178"/>
      <c r="AJ55" s="178"/>
      <c r="AK55" s="178"/>
      <c r="AL55" s="178"/>
      <c r="AM55" s="178"/>
      <c r="AN55" s="178"/>
      <c r="AO55" s="178"/>
      <c r="AP55" s="178"/>
      <c r="AQ55" s="178"/>
      <c r="AR55" s="178"/>
      <c r="AS55" s="178"/>
      <c r="AT55" s="178"/>
      <c r="AU55" s="178"/>
      <c r="AV55" s="178"/>
      <c r="AW55" s="178"/>
      <c r="AX55" s="178"/>
      <c r="AY55" s="178"/>
      <c r="AZ55" s="178"/>
      <c r="BA55" s="178"/>
      <c r="BB55" s="178"/>
      <c r="BC55" s="178"/>
      <c r="BD55" s="178"/>
      <c r="BE55" s="178"/>
      <c r="BF55" s="178"/>
      <c r="BG55" s="178"/>
      <c r="BH55" s="178"/>
      <c r="BI55" s="178"/>
      <c r="BJ55" s="178"/>
      <c r="BK55" s="178"/>
      <c r="BL55" s="178"/>
      <c r="BM55" s="178"/>
      <c r="BN55" s="178"/>
      <c r="BO55" s="178"/>
      <c r="BP55" s="178"/>
      <c r="BQ55" s="178"/>
      <c r="BR55" s="178"/>
      <c r="BS55" s="178"/>
      <c r="BT55" s="178"/>
      <c r="BU55" s="178"/>
      <c r="BV55" s="178"/>
    </row>
    <row r="56">
      <c r="BV56" s="5"/>
    </row>
    <row r="57">
      <c r="BV57" s="5"/>
    </row>
    <row r="58">
      <c r="BV58" s="5"/>
    </row>
    <row r="59">
      <c r="BV59" s="5"/>
    </row>
    <row r="60">
      <c r="BV60" s="5"/>
    </row>
    <row r="61">
      <c r="BV61" s="5"/>
    </row>
    <row r="62">
      <c r="BV62" s="5"/>
    </row>
    <row r="63">
      <c r="BV63" s="5"/>
    </row>
    <row r="64">
      <c r="BV64" s="5"/>
    </row>
    <row r="65">
      <c r="BV65" s="5"/>
    </row>
    <row r="66">
      <c r="BV66" s="5"/>
    </row>
    <row r="67">
      <c r="BV67" s="5"/>
    </row>
    <row r="68">
      <c r="BV68" s="5"/>
    </row>
    <row r="69">
      <c r="BV69" s="5"/>
    </row>
    <row r="70">
      <c r="BV70" s="5"/>
    </row>
    <row r="71">
      <c r="BV71" s="5"/>
    </row>
    <row r="72">
      <c r="BV72" s="5"/>
    </row>
    <row r="73">
      <c r="BV73" s="5"/>
    </row>
    <row r="74">
      <c r="BV74" s="5"/>
    </row>
    <row r="75">
      <c r="BV75" s="5"/>
    </row>
    <row r="76">
      <c r="BV76" s="5"/>
    </row>
    <row r="77">
      <c r="BV77" s="5"/>
    </row>
    <row r="78">
      <c r="BV78" s="5"/>
    </row>
    <row r="79">
      <c r="BV79" s="5"/>
    </row>
    <row r="80">
      <c r="BV80" s="5"/>
    </row>
    <row r="81">
      <c r="BV81" s="5"/>
    </row>
    <row r="82">
      <c r="BV82" s="5"/>
    </row>
    <row r="83">
      <c r="BV83" s="5"/>
    </row>
    <row r="84">
      <c r="BV84" s="5"/>
    </row>
    <row r="85">
      <c r="BV85" s="5"/>
    </row>
    <row r="86">
      <c r="BV86" s="5"/>
    </row>
    <row r="87">
      <c r="BV87" s="5"/>
    </row>
    <row r="88">
      <c r="BV88" s="5"/>
    </row>
    <row r="89">
      <c r="BV89" s="5"/>
    </row>
    <row r="90">
      <c r="BV90" s="5"/>
    </row>
    <row r="91">
      <c r="BV91" s="5"/>
    </row>
    <row r="92">
      <c r="BV92" s="5"/>
    </row>
    <row r="93">
      <c r="BV93" s="5"/>
    </row>
    <row r="94">
      <c r="BV94" s="5"/>
    </row>
    <row r="95">
      <c r="BV95" s="5"/>
    </row>
    <row r="96">
      <c r="BV96" s="5"/>
    </row>
    <row r="97">
      <c r="BV97" s="5"/>
    </row>
    <row r="98">
      <c r="BV98" s="5"/>
    </row>
    <row r="99">
      <c r="BV99" s="5"/>
    </row>
    <row r="100">
      <c r="BV100" s="5"/>
    </row>
    <row r="101">
      <c r="BV101" s="5"/>
    </row>
    <row r="102">
      <c r="BV102" s="5"/>
    </row>
    <row r="103">
      <c r="BV103" s="5"/>
    </row>
    <row r="104">
      <c r="BV104" s="5"/>
    </row>
    <row r="105">
      <c r="BV105" s="5"/>
    </row>
    <row r="106">
      <c r="BV106" s="5"/>
    </row>
    <row r="107">
      <c r="BV107" s="5"/>
    </row>
    <row r="108">
      <c r="BV108" s="5"/>
    </row>
    <row r="109">
      <c r="BV109" s="5"/>
    </row>
    <row r="110">
      <c r="BV110" s="5"/>
    </row>
    <row r="111">
      <c r="BV111" s="5"/>
    </row>
    <row r="112">
      <c r="BV112" s="5"/>
    </row>
    <row r="113">
      <c r="BV113" s="5"/>
    </row>
    <row r="114">
      <c r="BV114" s="5"/>
    </row>
    <row r="115">
      <c r="BV115" s="5"/>
    </row>
    <row r="116">
      <c r="BV116" s="5"/>
    </row>
    <row r="117">
      <c r="BV117" s="5"/>
    </row>
    <row r="118">
      <c r="BV118" s="5"/>
    </row>
    <row r="119">
      <c r="BV119" s="5"/>
    </row>
    <row r="120">
      <c r="BV120" s="5"/>
    </row>
    <row r="121">
      <c r="BV121" s="5"/>
    </row>
    <row r="122">
      <c r="BV122" s="5"/>
    </row>
    <row r="123">
      <c r="BV123" s="5"/>
    </row>
    <row r="124">
      <c r="BV124" s="5"/>
    </row>
    <row r="125">
      <c r="BV125" s="5"/>
    </row>
    <row r="126">
      <c r="BV126" s="5"/>
    </row>
    <row r="127">
      <c r="BV127" s="5"/>
    </row>
    <row r="128">
      <c r="BV128" s="5"/>
    </row>
    <row r="129">
      <c r="BV129" s="5"/>
    </row>
    <row r="130">
      <c r="BV130" s="5"/>
    </row>
    <row r="131">
      <c r="BV131" s="5"/>
    </row>
    <row r="132">
      <c r="BV132" s="5"/>
    </row>
    <row r="133">
      <c r="BV133" s="5"/>
    </row>
    <row r="134">
      <c r="BV134" s="5"/>
    </row>
    <row r="135">
      <c r="BV135" s="5"/>
    </row>
    <row r="136">
      <c r="BV136" s="5"/>
    </row>
    <row r="137">
      <c r="BV137" s="5"/>
    </row>
    <row r="138">
      <c r="BV138" s="5"/>
    </row>
    <row r="139">
      <c r="BV139" s="5"/>
    </row>
    <row r="140">
      <c r="BV140" s="5"/>
    </row>
    <row r="141">
      <c r="BV141" s="5"/>
    </row>
    <row r="142">
      <c r="BV142" s="5"/>
    </row>
    <row r="143">
      <c r="BV143" s="5"/>
    </row>
    <row r="144">
      <c r="BV144" s="5"/>
    </row>
    <row r="145">
      <c r="BV145" s="5"/>
    </row>
    <row r="146">
      <c r="BV146" s="5"/>
    </row>
    <row r="147">
      <c r="BV147" s="5"/>
    </row>
    <row r="148">
      <c r="BV148" s="5"/>
    </row>
    <row r="149">
      <c r="BV149" s="5"/>
    </row>
    <row r="150">
      <c r="BV150" s="5"/>
    </row>
    <row r="151">
      <c r="BV151" s="5"/>
    </row>
    <row r="152">
      <c r="BV152" s="5"/>
    </row>
    <row r="153">
      <c r="BV153" s="5"/>
    </row>
    <row r="154">
      <c r="BV154" s="5"/>
    </row>
    <row r="155">
      <c r="BV155" s="5"/>
    </row>
    <row r="156">
      <c r="BV156" s="5"/>
    </row>
    <row r="157">
      <c r="BV157" s="5"/>
    </row>
    <row r="158">
      <c r="BV158" s="5"/>
    </row>
    <row r="159">
      <c r="BV159" s="5"/>
    </row>
    <row r="160">
      <c r="BV160" s="5"/>
    </row>
    <row r="161">
      <c r="BV161" s="5"/>
    </row>
    <row r="162">
      <c r="BV162" s="5"/>
    </row>
    <row r="163">
      <c r="BV163" s="5"/>
    </row>
    <row r="164">
      <c r="BV164" s="5"/>
    </row>
    <row r="165">
      <c r="BV165" s="5"/>
    </row>
    <row r="166">
      <c r="BV166" s="5"/>
    </row>
    <row r="167">
      <c r="BV167" s="5"/>
    </row>
    <row r="168">
      <c r="BV168" s="5"/>
    </row>
    <row r="169">
      <c r="BV169" s="5"/>
    </row>
    <row r="170">
      <c r="BV170" s="5"/>
    </row>
    <row r="171">
      <c r="BV171" s="5"/>
    </row>
    <row r="172">
      <c r="BV172" s="5"/>
    </row>
    <row r="173">
      <c r="BV173" s="5"/>
    </row>
    <row r="174">
      <c r="BV174" s="5"/>
    </row>
    <row r="175">
      <c r="BV175" s="5"/>
    </row>
    <row r="176">
      <c r="BV176" s="5"/>
    </row>
    <row r="177">
      <c r="BV177" s="5"/>
    </row>
    <row r="178">
      <c r="BV178" s="5"/>
    </row>
    <row r="179">
      <c r="BV179" s="5"/>
    </row>
    <row r="180">
      <c r="BV180" s="5"/>
    </row>
    <row r="181">
      <c r="BV181" s="5"/>
    </row>
    <row r="182">
      <c r="BV182" s="5"/>
    </row>
    <row r="183">
      <c r="BV183" s="5"/>
    </row>
    <row r="184">
      <c r="BV184" s="5"/>
    </row>
    <row r="185">
      <c r="BV185" s="5"/>
    </row>
    <row r="186">
      <c r="BV186" s="5"/>
    </row>
    <row r="187">
      <c r="BV187" s="5"/>
    </row>
    <row r="188">
      <c r="BV188" s="5"/>
    </row>
    <row r="189">
      <c r="BV189" s="5"/>
    </row>
    <row r="190">
      <c r="BV190" s="5"/>
    </row>
    <row r="191">
      <c r="BV191" s="5"/>
    </row>
    <row r="192">
      <c r="BV192" s="5"/>
    </row>
    <row r="193">
      <c r="BV193" s="5"/>
    </row>
    <row r="194">
      <c r="BV194" s="5"/>
    </row>
    <row r="195">
      <c r="BV195" s="5"/>
    </row>
    <row r="196">
      <c r="BV196" s="5"/>
    </row>
    <row r="197">
      <c r="BV197" s="5"/>
    </row>
    <row r="198">
      <c r="BV198" s="5"/>
    </row>
    <row r="199">
      <c r="BV199" s="5"/>
    </row>
    <row r="200">
      <c r="BV200" s="5"/>
    </row>
    <row r="201">
      <c r="BV201" s="5"/>
    </row>
    <row r="202">
      <c r="BV202" s="5"/>
    </row>
    <row r="203">
      <c r="BV203" s="5"/>
    </row>
    <row r="204">
      <c r="BV204" s="5"/>
    </row>
    <row r="205">
      <c r="BV205" s="5"/>
    </row>
    <row r="206">
      <c r="BV206" s="5"/>
    </row>
    <row r="207">
      <c r="BV207" s="5"/>
    </row>
    <row r="208">
      <c r="BV208" s="5"/>
    </row>
    <row r="209">
      <c r="BV209" s="5"/>
    </row>
    <row r="210">
      <c r="BV210" s="5"/>
    </row>
    <row r="211">
      <c r="BV211" s="5"/>
    </row>
    <row r="212">
      <c r="BV212" s="5"/>
    </row>
    <row r="213">
      <c r="BV213" s="5"/>
    </row>
    <row r="214">
      <c r="BV214" s="5"/>
    </row>
    <row r="215">
      <c r="BV215" s="5"/>
    </row>
    <row r="216">
      <c r="BV216" s="5"/>
    </row>
    <row r="217">
      <c r="BV217" s="5"/>
    </row>
    <row r="218">
      <c r="BV218" s="5"/>
    </row>
    <row r="219">
      <c r="BV219" s="5"/>
    </row>
    <row r="220">
      <c r="BV220" s="5"/>
    </row>
    <row r="221">
      <c r="BV221" s="5"/>
    </row>
    <row r="222">
      <c r="BV222" s="5"/>
    </row>
    <row r="223">
      <c r="BV223" s="5"/>
    </row>
    <row r="224">
      <c r="BV224" s="5"/>
    </row>
    <row r="225">
      <c r="BV225" s="5"/>
    </row>
    <row r="226">
      <c r="BV226" s="5"/>
    </row>
    <row r="227">
      <c r="BV227" s="5"/>
    </row>
    <row r="228">
      <c r="BV228" s="5"/>
    </row>
    <row r="229">
      <c r="BV229" s="5"/>
    </row>
    <row r="230">
      <c r="BV230" s="5"/>
    </row>
    <row r="231">
      <c r="BV231" s="5"/>
    </row>
    <row r="232">
      <c r="BV232" s="5"/>
    </row>
    <row r="233">
      <c r="BV233" s="5"/>
    </row>
    <row r="234">
      <c r="BV234" s="5"/>
    </row>
    <row r="235">
      <c r="BV235" s="5"/>
    </row>
    <row r="236">
      <c r="BV236" s="5"/>
    </row>
    <row r="237">
      <c r="BV237" s="5"/>
    </row>
    <row r="238">
      <c r="BV238" s="5"/>
    </row>
    <row r="239">
      <c r="BV239" s="5"/>
    </row>
    <row r="240">
      <c r="BV240" s="5"/>
    </row>
    <row r="241">
      <c r="BV241" s="5"/>
    </row>
    <row r="242">
      <c r="BV242" s="5"/>
    </row>
    <row r="243">
      <c r="BV243" s="5"/>
    </row>
    <row r="244">
      <c r="BV244" s="5"/>
    </row>
    <row r="245">
      <c r="BV245" s="5"/>
    </row>
    <row r="246">
      <c r="BV246" s="5"/>
    </row>
    <row r="247">
      <c r="BV247" s="5"/>
    </row>
    <row r="248">
      <c r="BV248" s="5"/>
    </row>
    <row r="249">
      <c r="BV249" s="5"/>
    </row>
    <row r="250">
      <c r="BV250" s="5"/>
    </row>
    <row r="251">
      <c r="BV251" s="5"/>
    </row>
    <row r="252">
      <c r="BV252" s="5"/>
    </row>
    <row r="253">
      <c r="BV253" s="5"/>
    </row>
    <row r="254">
      <c r="BV254" s="5"/>
    </row>
    <row r="255">
      <c r="BV255" s="5"/>
    </row>
    <row r="256">
      <c r="BV256" s="5"/>
    </row>
    <row r="257">
      <c r="BV257" s="5"/>
    </row>
    <row r="258">
      <c r="BV258" s="5"/>
    </row>
    <row r="259">
      <c r="BV259" s="5"/>
    </row>
    <row r="260">
      <c r="BV260" s="5"/>
    </row>
    <row r="261">
      <c r="BV261" s="5"/>
    </row>
    <row r="262">
      <c r="BV262" s="5"/>
    </row>
    <row r="263">
      <c r="BV263" s="5"/>
    </row>
    <row r="264">
      <c r="BV264" s="5"/>
    </row>
    <row r="265">
      <c r="BV265" s="5"/>
    </row>
    <row r="266">
      <c r="BV266" s="5"/>
    </row>
    <row r="267">
      <c r="BV267" s="5"/>
    </row>
    <row r="268">
      <c r="BV268" s="5"/>
    </row>
    <row r="269">
      <c r="BV269" s="5"/>
    </row>
    <row r="270">
      <c r="BV270" s="5"/>
    </row>
    <row r="271">
      <c r="BV271" s="5"/>
    </row>
    <row r="272">
      <c r="BV272" s="5"/>
    </row>
    <row r="273">
      <c r="BV273" s="5"/>
    </row>
    <row r="274">
      <c r="BV274" s="5"/>
    </row>
    <row r="275">
      <c r="BV275" s="5"/>
    </row>
    <row r="276">
      <c r="BV276" s="5"/>
    </row>
    <row r="277">
      <c r="BV277" s="5"/>
    </row>
    <row r="278">
      <c r="BV278" s="5"/>
    </row>
    <row r="279">
      <c r="BV279" s="5"/>
    </row>
    <row r="280">
      <c r="BV280" s="5"/>
    </row>
    <row r="281">
      <c r="BV281" s="5"/>
    </row>
    <row r="282">
      <c r="BV282" s="5"/>
    </row>
    <row r="283">
      <c r="BV283" s="5"/>
    </row>
    <row r="284">
      <c r="BV284" s="5"/>
    </row>
    <row r="285">
      <c r="BV285" s="5"/>
    </row>
    <row r="286">
      <c r="BV286" s="5"/>
    </row>
    <row r="287">
      <c r="BV287" s="5"/>
    </row>
    <row r="288">
      <c r="BV288" s="5"/>
    </row>
    <row r="289">
      <c r="BV289" s="5"/>
    </row>
    <row r="290">
      <c r="BV290" s="5"/>
    </row>
    <row r="291">
      <c r="BV291" s="5"/>
    </row>
    <row r="292">
      <c r="BV292" s="5"/>
    </row>
    <row r="293">
      <c r="BV293" s="5"/>
    </row>
    <row r="294">
      <c r="BV294" s="5"/>
    </row>
    <row r="295">
      <c r="BV295" s="5"/>
    </row>
    <row r="296">
      <c r="BV296" s="5"/>
    </row>
    <row r="297">
      <c r="BV297" s="5"/>
    </row>
    <row r="298">
      <c r="BV298" s="5"/>
    </row>
    <row r="299">
      <c r="BV299" s="5"/>
    </row>
    <row r="300">
      <c r="BV300" s="5"/>
    </row>
    <row r="301">
      <c r="BV301" s="5"/>
    </row>
    <row r="302">
      <c r="BV302" s="5"/>
    </row>
    <row r="303">
      <c r="BV303" s="5"/>
    </row>
    <row r="304">
      <c r="BV304" s="5"/>
    </row>
    <row r="305">
      <c r="BV305" s="5"/>
    </row>
    <row r="306">
      <c r="BV306" s="5"/>
    </row>
    <row r="307">
      <c r="BV307" s="5"/>
    </row>
    <row r="308">
      <c r="BV308" s="5"/>
    </row>
    <row r="309">
      <c r="BV309" s="5"/>
    </row>
    <row r="310">
      <c r="BV310" s="5"/>
    </row>
    <row r="311">
      <c r="BV311" s="5"/>
    </row>
    <row r="312">
      <c r="BV312" s="5"/>
    </row>
    <row r="313">
      <c r="BV313" s="5"/>
    </row>
    <row r="314">
      <c r="BV314" s="5"/>
    </row>
    <row r="315">
      <c r="BV315" s="5"/>
    </row>
    <row r="316">
      <c r="BV316" s="5"/>
    </row>
    <row r="317">
      <c r="BV317" s="5"/>
    </row>
    <row r="318">
      <c r="BV318" s="5"/>
    </row>
    <row r="319">
      <c r="BV319" s="5"/>
    </row>
    <row r="320">
      <c r="BV320" s="5"/>
    </row>
    <row r="321">
      <c r="BV321" s="5"/>
    </row>
    <row r="322">
      <c r="BV322" s="5"/>
    </row>
    <row r="323">
      <c r="BV323" s="5"/>
    </row>
    <row r="324">
      <c r="BV324" s="5"/>
    </row>
    <row r="325">
      <c r="BV325" s="5"/>
    </row>
    <row r="326">
      <c r="BV326" s="5"/>
    </row>
    <row r="327">
      <c r="BV327" s="5"/>
    </row>
    <row r="328">
      <c r="BV328" s="5"/>
    </row>
    <row r="329">
      <c r="BV329" s="5"/>
    </row>
    <row r="330">
      <c r="BV330" s="5"/>
    </row>
    <row r="331">
      <c r="BV331" s="5"/>
    </row>
    <row r="332">
      <c r="BV332" s="5"/>
    </row>
    <row r="333">
      <c r="BV333" s="5"/>
    </row>
    <row r="334">
      <c r="BV334" s="5"/>
    </row>
    <row r="335">
      <c r="BV335" s="5"/>
    </row>
    <row r="336">
      <c r="BV336" s="5"/>
    </row>
    <row r="337">
      <c r="BV337" s="5"/>
    </row>
    <row r="338">
      <c r="BV338" s="5"/>
    </row>
    <row r="339">
      <c r="BV339" s="5"/>
    </row>
    <row r="340">
      <c r="BV340" s="5"/>
    </row>
    <row r="341">
      <c r="BV341" s="5"/>
    </row>
    <row r="342">
      <c r="BV342" s="5"/>
    </row>
    <row r="343">
      <c r="BV343" s="5"/>
    </row>
    <row r="344">
      <c r="BV344" s="5"/>
    </row>
    <row r="345">
      <c r="BV345" s="5"/>
    </row>
    <row r="346">
      <c r="BV346" s="5"/>
    </row>
    <row r="347">
      <c r="BV347" s="5"/>
    </row>
    <row r="348">
      <c r="BV348" s="5"/>
    </row>
    <row r="349">
      <c r="BV349" s="5"/>
    </row>
    <row r="350">
      <c r="BV350" s="5"/>
    </row>
    <row r="351">
      <c r="BV351" s="5"/>
    </row>
    <row r="352">
      <c r="BV352" s="5"/>
    </row>
    <row r="353">
      <c r="BV353" s="5"/>
    </row>
    <row r="354">
      <c r="BV354" s="5"/>
    </row>
    <row r="355">
      <c r="BV355" s="5"/>
    </row>
    <row r="356">
      <c r="BV356" s="5"/>
    </row>
    <row r="357">
      <c r="BV357" s="5"/>
    </row>
    <row r="358">
      <c r="BV358" s="5"/>
    </row>
    <row r="359">
      <c r="BV359" s="5"/>
    </row>
    <row r="360">
      <c r="BV360" s="5"/>
    </row>
    <row r="361">
      <c r="BV361" s="5"/>
    </row>
    <row r="362">
      <c r="BV362" s="5"/>
    </row>
    <row r="363">
      <c r="BV363" s="5"/>
    </row>
    <row r="364">
      <c r="BV364" s="5"/>
    </row>
    <row r="365">
      <c r="BV365" s="5"/>
    </row>
    <row r="366">
      <c r="BV366" s="5"/>
    </row>
    <row r="367">
      <c r="BV367" s="5"/>
    </row>
    <row r="368">
      <c r="BV368" s="5"/>
    </row>
    <row r="369">
      <c r="BV369" s="5"/>
    </row>
    <row r="370">
      <c r="BV370" s="5"/>
    </row>
    <row r="371">
      <c r="BV371" s="5"/>
    </row>
    <row r="372">
      <c r="BV372" s="5"/>
    </row>
    <row r="373">
      <c r="BV373" s="5"/>
    </row>
    <row r="374">
      <c r="BV374" s="5"/>
    </row>
    <row r="375">
      <c r="BV375" s="5"/>
    </row>
    <row r="376">
      <c r="BV376" s="5"/>
    </row>
    <row r="377">
      <c r="BV377" s="5"/>
    </row>
    <row r="378">
      <c r="BV378" s="5"/>
    </row>
    <row r="379">
      <c r="BV379" s="5"/>
    </row>
    <row r="380">
      <c r="BV380" s="5"/>
    </row>
    <row r="381">
      <c r="BV381" s="5"/>
    </row>
    <row r="382">
      <c r="BV382" s="5"/>
    </row>
    <row r="383">
      <c r="BV383" s="5"/>
    </row>
    <row r="384">
      <c r="BV384" s="5"/>
    </row>
    <row r="385">
      <c r="BV385" s="5"/>
    </row>
    <row r="386">
      <c r="BV386" s="5"/>
    </row>
    <row r="387">
      <c r="BV387" s="5"/>
    </row>
    <row r="388">
      <c r="BV388" s="5"/>
    </row>
    <row r="389">
      <c r="BV389" s="5"/>
    </row>
    <row r="390">
      <c r="BV390" s="5"/>
    </row>
    <row r="391">
      <c r="BV391" s="5"/>
    </row>
    <row r="392">
      <c r="BV392" s="5"/>
    </row>
    <row r="393">
      <c r="BV393" s="5"/>
    </row>
    <row r="394">
      <c r="BV394" s="5"/>
    </row>
    <row r="395">
      <c r="BV395" s="5"/>
    </row>
    <row r="396">
      <c r="BV396" s="5"/>
    </row>
    <row r="397">
      <c r="BV397" s="5"/>
    </row>
    <row r="398">
      <c r="BV398" s="5"/>
    </row>
    <row r="399">
      <c r="BV399" s="5"/>
    </row>
    <row r="400">
      <c r="BV400" s="5"/>
    </row>
    <row r="401">
      <c r="BV401" s="5"/>
    </row>
    <row r="402">
      <c r="BV402" s="5"/>
    </row>
    <row r="403">
      <c r="BV403" s="5"/>
    </row>
    <row r="404">
      <c r="BV404" s="5"/>
    </row>
    <row r="405">
      <c r="BV405" s="5"/>
    </row>
    <row r="406">
      <c r="BV406" s="5"/>
    </row>
    <row r="407">
      <c r="BV407" s="5"/>
    </row>
    <row r="408">
      <c r="BV408" s="5"/>
    </row>
    <row r="409">
      <c r="BV409" s="5"/>
    </row>
    <row r="410">
      <c r="BV410" s="5"/>
    </row>
    <row r="411">
      <c r="BV411" s="5"/>
    </row>
    <row r="412">
      <c r="BV412" s="5"/>
    </row>
    <row r="413">
      <c r="BV413" s="5"/>
    </row>
    <row r="414">
      <c r="BV414" s="5"/>
    </row>
    <row r="415">
      <c r="BV415" s="5"/>
    </row>
    <row r="416">
      <c r="BV416" s="5"/>
    </row>
    <row r="417">
      <c r="BV417" s="5"/>
    </row>
    <row r="418">
      <c r="BV418" s="5"/>
    </row>
    <row r="419">
      <c r="BV419" s="5"/>
    </row>
    <row r="420">
      <c r="BV420" s="5"/>
    </row>
    <row r="421">
      <c r="BV421" s="5"/>
    </row>
    <row r="422">
      <c r="BV422" s="5"/>
    </row>
    <row r="423">
      <c r="BV423" s="5"/>
    </row>
    <row r="424">
      <c r="BV424" s="5"/>
    </row>
    <row r="425">
      <c r="BV425" s="5"/>
    </row>
    <row r="426">
      <c r="BV426" s="5"/>
    </row>
    <row r="427">
      <c r="BV427" s="5"/>
    </row>
    <row r="428">
      <c r="BV428" s="5"/>
    </row>
    <row r="429">
      <c r="BV429" s="5"/>
    </row>
    <row r="430">
      <c r="BV430" s="5"/>
    </row>
    <row r="431">
      <c r="BV431" s="5"/>
    </row>
    <row r="432">
      <c r="BV432" s="5"/>
    </row>
    <row r="433">
      <c r="BV433" s="5"/>
    </row>
    <row r="434">
      <c r="BV434" s="5"/>
    </row>
    <row r="435">
      <c r="BV435" s="5"/>
    </row>
    <row r="436">
      <c r="BV436" s="5"/>
    </row>
    <row r="437">
      <c r="BV437" s="5"/>
    </row>
    <row r="438">
      <c r="BV438" s="5"/>
    </row>
    <row r="439">
      <c r="BV439" s="5"/>
    </row>
    <row r="440">
      <c r="BV440" s="5"/>
    </row>
    <row r="441">
      <c r="BV441" s="5"/>
    </row>
    <row r="442">
      <c r="BV442" s="5"/>
    </row>
    <row r="443">
      <c r="BV443" s="5"/>
    </row>
    <row r="444">
      <c r="BV444" s="5"/>
    </row>
    <row r="445">
      <c r="BV445" s="5"/>
    </row>
    <row r="446">
      <c r="BV446" s="5"/>
    </row>
    <row r="447">
      <c r="BV447" s="5"/>
    </row>
    <row r="448">
      <c r="BV448" s="5"/>
    </row>
    <row r="449">
      <c r="BV449" s="5"/>
    </row>
    <row r="450">
      <c r="BV450" s="5"/>
    </row>
    <row r="451">
      <c r="BV451" s="5"/>
    </row>
    <row r="452">
      <c r="BV452" s="5"/>
    </row>
    <row r="453">
      <c r="BV453" s="5"/>
    </row>
    <row r="454">
      <c r="BV454" s="5"/>
    </row>
    <row r="455">
      <c r="BV455" s="5"/>
    </row>
    <row r="456">
      <c r="BV456" s="5"/>
    </row>
    <row r="457">
      <c r="BV457" s="5"/>
    </row>
    <row r="458">
      <c r="BV458" s="5"/>
    </row>
    <row r="459">
      <c r="BV459" s="5"/>
    </row>
    <row r="460">
      <c r="BV460" s="5"/>
    </row>
    <row r="461">
      <c r="BV461" s="5"/>
    </row>
    <row r="462">
      <c r="BV462" s="5"/>
    </row>
    <row r="463">
      <c r="BV463" s="5"/>
    </row>
    <row r="464">
      <c r="BV464" s="5"/>
    </row>
    <row r="465">
      <c r="BV465" s="5"/>
    </row>
    <row r="466">
      <c r="BV466" s="5"/>
    </row>
    <row r="467">
      <c r="BV467" s="5"/>
    </row>
    <row r="468">
      <c r="BV468" s="5"/>
    </row>
    <row r="469">
      <c r="BV469" s="5"/>
    </row>
    <row r="470">
      <c r="BV470" s="5"/>
    </row>
    <row r="471">
      <c r="BV471" s="5"/>
    </row>
    <row r="472">
      <c r="BV472" s="5"/>
    </row>
    <row r="473">
      <c r="BV473" s="5"/>
    </row>
    <row r="474">
      <c r="BV474" s="5"/>
    </row>
    <row r="475">
      <c r="BV475" s="5"/>
    </row>
    <row r="476">
      <c r="BV476" s="5"/>
    </row>
    <row r="477">
      <c r="BV477" s="5"/>
    </row>
    <row r="478">
      <c r="BV478" s="5"/>
    </row>
    <row r="479">
      <c r="BV479" s="5"/>
    </row>
    <row r="480">
      <c r="BV480" s="5"/>
    </row>
    <row r="481">
      <c r="BV481" s="5"/>
    </row>
    <row r="482">
      <c r="BV482" s="5"/>
    </row>
    <row r="483">
      <c r="BV483" s="5"/>
    </row>
    <row r="484">
      <c r="BV484" s="5"/>
    </row>
    <row r="485">
      <c r="BV485" s="5"/>
    </row>
    <row r="486">
      <c r="BV486" s="5"/>
    </row>
    <row r="487">
      <c r="BV487" s="5"/>
    </row>
    <row r="488">
      <c r="BV488" s="5"/>
    </row>
    <row r="489">
      <c r="BV489" s="5"/>
    </row>
    <row r="490">
      <c r="BV490" s="5"/>
    </row>
    <row r="491">
      <c r="BV491" s="5"/>
    </row>
    <row r="492">
      <c r="BV492" s="5"/>
    </row>
    <row r="493">
      <c r="BV493" s="5"/>
    </row>
    <row r="494">
      <c r="BV494" s="5"/>
    </row>
    <row r="495">
      <c r="BV495" s="5"/>
    </row>
    <row r="496">
      <c r="BV496" s="5"/>
    </row>
    <row r="497">
      <c r="BV497" s="5"/>
    </row>
    <row r="498">
      <c r="BV498" s="5"/>
    </row>
    <row r="499">
      <c r="BV499" s="5"/>
    </row>
    <row r="500">
      <c r="BV500" s="5"/>
    </row>
    <row r="501">
      <c r="BV501" s="5"/>
    </row>
    <row r="502">
      <c r="BV502" s="5"/>
    </row>
    <row r="503">
      <c r="BV503" s="5"/>
    </row>
    <row r="504">
      <c r="BV504" s="5"/>
    </row>
    <row r="505">
      <c r="BV505" s="5"/>
    </row>
    <row r="506">
      <c r="BV506" s="5"/>
    </row>
    <row r="507">
      <c r="BV507" s="5"/>
    </row>
    <row r="508">
      <c r="BV508" s="5"/>
    </row>
    <row r="509">
      <c r="BV509" s="5"/>
    </row>
    <row r="510">
      <c r="BV510" s="5"/>
    </row>
    <row r="511">
      <c r="BV511" s="5"/>
    </row>
    <row r="512">
      <c r="BV512" s="5"/>
    </row>
    <row r="513">
      <c r="BV513" s="5"/>
    </row>
    <row r="514">
      <c r="BV514" s="5"/>
    </row>
    <row r="515">
      <c r="BV515" s="5"/>
    </row>
    <row r="516">
      <c r="BV516" s="5"/>
    </row>
    <row r="517">
      <c r="BV517" s="5"/>
    </row>
    <row r="518">
      <c r="BV518" s="5"/>
    </row>
    <row r="519">
      <c r="BV519" s="5"/>
    </row>
    <row r="520">
      <c r="BV520" s="5"/>
    </row>
    <row r="521">
      <c r="BV521" s="5"/>
    </row>
    <row r="522">
      <c r="BV522" s="5"/>
    </row>
    <row r="523">
      <c r="BV523" s="5"/>
    </row>
    <row r="524">
      <c r="BV524" s="5"/>
    </row>
    <row r="525">
      <c r="BV525" s="5"/>
    </row>
    <row r="526">
      <c r="BV526" s="5"/>
    </row>
    <row r="527">
      <c r="BV527" s="5"/>
    </row>
    <row r="528">
      <c r="BV528" s="5"/>
    </row>
    <row r="529">
      <c r="BV529" s="5"/>
    </row>
    <row r="530">
      <c r="BV530" s="5"/>
    </row>
    <row r="531">
      <c r="BV531" s="5"/>
    </row>
    <row r="532">
      <c r="BV532" s="5"/>
    </row>
    <row r="533">
      <c r="BV533" s="5"/>
    </row>
    <row r="534">
      <c r="BV534" s="5"/>
    </row>
    <row r="535">
      <c r="BV535" s="5"/>
    </row>
    <row r="536">
      <c r="BV536" s="5"/>
    </row>
    <row r="537">
      <c r="BV537" s="5"/>
    </row>
    <row r="538">
      <c r="BV538" s="5"/>
    </row>
    <row r="539">
      <c r="BV539" s="5"/>
    </row>
    <row r="540">
      <c r="BV540" s="5"/>
    </row>
    <row r="541">
      <c r="BV541" s="5"/>
    </row>
    <row r="542">
      <c r="BV542" s="5"/>
    </row>
    <row r="543">
      <c r="BV543" s="5"/>
    </row>
    <row r="544">
      <c r="BV544" s="5"/>
    </row>
    <row r="545">
      <c r="BV545" s="5"/>
    </row>
    <row r="546">
      <c r="BV546" s="5"/>
    </row>
    <row r="547">
      <c r="BV547" s="5"/>
    </row>
    <row r="548">
      <c r="BV548" s="5"/>
    </row>
    <row r="549">
      <c r="BV549" s="5"/>
    </row>
    <row r="550">
      <c r="BV550" s="5"/>
    </row>
    <row r="551">
      <c r="BV551" s="5"/>
    </row>
    <row r="552">
      <c r="BV552" s="5"/>
    </row>
    <row r="553">
      <c r="BV553" s="5"/>
    </row>
    <row r="554">
      <c r="BV554" s="5"/>
    </row>
    <row r="555">
      <c r="BV555" s="5"/>
    </row>
    <row r="556">
      <c r="BV556" s="5"/>
    </row>
    <row r="557">
      <c r="BV557" s="5"/>
    </row>
    <row r="558">
      <c r="BV558" s="5"/>
    </row>
    <row r="559">
      <c r="BV559" s="5"/>
    </row>
    <row r="560">
      <c r="BV560" s="5"/>
    </row>
    <row r="561">
      <c r="BV561" s="5"/>
    </row>
    <row r="562">
      <c r="BV562" s="5"/>
    </row>
    <row r="563">
      <c r="BV563" s="5"/>
    </row>
    <row r="564">
      <c r="BV564" s="5"/>
    </row>
    <row r="565">
      <c r="BV565" s="5"/>
    </row>
    <row r="566">
      <c r="BV566" s="5"/>
    </row>
    <row r="567">
      <c r="BV567" s="5"/>
    </row>
    <row r="568">
      <c r="BV568" s="5"/>
    </row>
    <row r="569">
      <c r="BV569" s="5"/>
    </row>
    <row r="570">
      <c r="BV570" s="5"/>
    </row>
    <row r="571">
      <c r="BV571" s="5"/>
    </row>
    <row r="572">
      <c r="BV572" s="5"/>
    </row>
    <row r="573">
      <c r="BV573" s="5"/>
    </row>
    <row r="574">
      <c r="BV574" s="5"/>
    </row>
    <row r="575">
      <c r="BV575" s="5"/>
    </row>
    <row r="576">
      <c r="BV576" s="5"/>
    </row>
    <row r="577">
      <c r="BV577" s="5"/>
    </row>
    <row r="578">
      <c r="BV578" s="5"/>
    </row>
    <row r="579">
      <c r="BV579" s="5"/>
    </row>
    <row r="580">
      <c r="BV580" s="5"/>
    </row>
    <row r="581">
      <c r="BV581" s="5"/>
    </row>
    <row r="582">
      <c r="BV582" s="5"/>
    </row>
    <row r="583">
      <c r="BV583" s="5"/>
    </row>
    <row r="584">
      <c r="BV584" s="5"/>
    </row>
    <row r="585">
      <c r="BV585" s="5"/>
    </row>
    <row r="586">
      <c r="BV586" s="5"/>
    </row>
    <row r="587">
      <c r="BV587" s="5"/>
    </row>
    <row r="588">
      <c r="BV588" s="5"/>
    </row>
    <row r="589">
      <c r="BV589" s="5"/>
    </row>
    <row r="590">
      <c r="BV590" s="5"/>
    </row>
    <row r="591">
      <c r="BV591" s="5"/>
    </row>
    <row r="592">
      <c r="BV592" s="5"/>
    </row>
    <row r="593">
      <c r="BV593" s="5"/>
    </row>
    <row r="594">
      <c r="BV594" s="5"/>
    </row>
    <row r="595">
      <c r="BV595" s="5"/>
    </row>
    <row r="596">
      <c r="BV596" s="5"/>
    </row>
    <row r="597">
      <c r="BV597" s="5"/>
    </row>
    <row r="598">
      <c r="BV598" s="5"/>
    </row>
    <row r="599">
      <c r="BV599" s="5"/>
    </row>
    <row r="600">
      <c r="BV600" s="5"/>
    </row>
    <row r="601">
      <c r="BV601" s="5"/>
    </row>
    <row r="602">
      <c r="BV602" s="5"/>
    </row>
    <row r="603">
      <c r="BV603" s="5"/>
    </row>
    <row r="604">
      <c r="BV604" s="5"/>
    </row>
    <row r="605">
      <c r="BV605" s="5"/>
    </row>
    <row r="606">
      <c r="BV606" s="5"/>
    </row>
    <row r="607">
      <c r="BV607" s="5"/>
    </row>
    <row r="608">
      <c r="BV608" s="5"/>
    </row>
    <row r="609">
      <c r="BV609" s="5"/>
    </row>
    <row r="610">
      <c r="BV610" s="5"/>
    </row>
    <row r="611">
      <c r="BV611" s="5"/>
    </row>
    <row r="612">
      <c r="BV612" s="5"/>
    </row>
    <row r="613">
      <c r="BV613" s="5"/>
    </row>
    <row r="614">
      <c r="BV614" s="5"/>
    </row>
    <row r="615">
      <c r="BV615" s="5"/>
    </row>
    <row r="616">
      <c r="BV616" s="5"/>
    </row>
    <row r="617">
      <c r="BV617" s="5"/>
    </row>
    <row r="618">
      <c r="BV618" s="5"/>
    </row>
    <row r="619">
      <c r="BV619" s="5"/>
    </row>
    <row r="620">
      <c r="BV620" s="5"/>
    </row>
    <row r="621">
      <c r="BV621" s="5"/>
    </row>
    <row r="622">
      <c r="BV622" s="5"/>
    </row>
    <row r="623">
      <c r="BV623" s="5"/>
    </row>
    <row r="624">
      <c r="BV624" s="5"/>
    </row>
    <row r="625">
      <c r="BV625" s="5"/>
    </row>
    <row r="626">
      <c r="BV626" s="5"/>
    </row>
    <row r="627">
      <c r="BV627" s="5"/>
    </row>
    <row r="628">
      <c r="BV628" s="5"/>
    </row>
    <row r="629">
      <c r="BV629" s="5"/>
    </row>
    <row r="630">
      <c r="BV630" s="5"/>
    </row>
    <row r="631">
      <c r="BV631" s="5"/>
    </row>
    <row r="632">
      <c r="BV632" s="5"/>
    </row>
    <row r="633">
      <c r="BV633" s="5"/>
    </row>
    <row r="634">
      <c r="BV634" s="5"/>
    </row>
    <row r="635">
      <c r="BV635" s="5"/>
    </row>
    <row r="636">
      <c r="BV636" s="5"/>
    </row>
    <row r="637">
      <c r="BV637" s="5"/>
    </row>
    <row r="638">
      <c r="BV638" s="5"/>
    </row>
    <row r="639">
      <c r="BV639" s="5"/>
    </row>
    <row r="640">
      <c r="BV640" s="5"/>
    </row>
    <row r="641">
      <c r="BV641" s="5"/>
    </row>
    <row r="642">
      <c r="BV642" s="5"/>
    </row>
    <row r="643">
      <c r="BV643" s="5"/>
    </row>
    <row r="644">
      <c r="BV644" s="5"/>
    </row>
    <row r="645">
      <c r="BV645" s="5"/>
    </row>
    <row r="646">
      <c r="BV646" s="5"/>
    </row>
    <row r="647">
      <c r="BV647" s="5"/>
    </row>
    <row r="648">
      <c r="BV648" s="5"/>
    </row>
    <row r="649">
      <c r="BV649" s="5"/>
    </row>
    <row r="650">
      <c r="BV650" s="5"/>
    </row>
    <row r="651">
      <c r="BV651" s="5"/>
    </row>
    <row r="652">
      <c r="BV652" s="5"/>
    </row>
    <row r="653">
      <c r="BV653" s="5"/>
    </row>
    <row r="654">
      <c r="BV654" s="5"/>
    </row>
    <row r="655">
      <c r="BV655" s="5"/>
    </row>
    <row r="656">
      <c r="BV656" s="5"/>
    </row>
    <row r="657">
      <c r="BV657" s="5"/>
    </row>
    <row r="658">
      <c r="BV658" s="5"/>
    </row>
    <row r="659">
      <c r="BV659" s="5"/>
    </row>
    <row r="660">
      <c r="BV660" s="5"/>
    </row>
    <row r="661">
      <c r="BV661" s="5"/>
    </row>
    <row r="662">
      <c r="BV662" s="5"/>
    </row>
    <row r="663">
      <c r="BV663" s="5"/>
    </row>
    <row r="664">
      <c r="BV664" s="5"/>
    </row>
    <row r="665">
      <c r="BV665" s="5"/>
    </row>
    <row r="666">
      <c r="BV666" s="5"/>
    </row>
    <row r="667">
      <c r="BV667" s="5"/>
    </row>
    <row r="668">
      <c r="BV668" s="5"/>
    </row>
    <row r="669">
      <c r="BV669" s="5"/>
    </row>
    <row r="670">
      <c r="BV670" s="5"/>
    </row>
    <row r="671">
      <c r="BV671" s="5"/>
    </row>
    <row r="672">
      <c r="BV672" s="5"/>
    </row>
    <row r="673">
      <c r="BV673" s="5"/>
    </row>
    <row r="674">
      <c r="BV674" s="5"/>
    </row>
    <row r="675">
      <c r="BV675" s="5"/>
    </row>
    <row r="676">
      <c r="BV676" s="5"/>
    </row>
    <row r="677">
      <c r="BV677" s="5"/>
    </row>
    <row r="678">
      <c r="BV678" s="5"/>
    </row>
    <row r="679">
      <c r="BV679" s="5"/>
    </row>
    <row r="680">
      <c r="BV680" s="5"/>
    </row>
    <row r="681">
      <c r="BV681" s="5"/>
    </row>
    <row r="682">
      <c r="BV682" s="5"/>
    </row>
    <row r="683">
      <c r="BV683" s="5"/>
    </row>
    <row r="684">
      <c r="BV684" s="5"/>
    </row>
    <row r="685">
      <c r="BV685" s="5"/>
    </row>
    <row r="686">
      <c r="BV686" s="5"/>
    </row>
    <row r="687">
      <c r="BV687" s="5"/>
    </row>
    <row r="688">
      <c r="BV688" s="5"/>
    </row>
    <row r="689">
      <c r="BV689" s="5"/>
    </row>
    <row r="690">
      <c r="BV690" s="5"/>
    </row>
    <row r="691">
      <c r="BV691" s="5"/>
    </row>
    <row r="692">
      <c r="BV692" s="5"/>
    </row>
    <row r="693">
      <c r="BV693" s="5"/>
    </row>
    <row r="694">
      <c r="BV694" s="5"/>
    </row>
    <row r="695">
      <c r="BV695" s="5"/>
    </row>
    <row r="696">
      <c r="BV696" s="5"/>
    </row>
    <row r="697">
      <c r="BV697" s="5"/>
    </row>
    <row r="698">
      <c r="BV698" s="5"/>
    </row>
    <row r="699">
      <c r="BV699" s="5"/>
    </row>
    <row r="700">
      <c r="BV700" s="5"/>
    </row>
    <row r="701">
      <c r="BV701" s="5"/>
    </row>
    <row r="702">
      <c r="BV702" s="5"/>
    </row>
    <row r="703">
      <c r="BV703" s="5"/>
    </row>
    <row r="704">
      <c r="BV704" s="5"/>
    </row>
    <row r="705">
      <c r="BV705" s="5"/>
    </row>
    <row r="706">
      <c r="BV706" s="5"/>
    </row>
    <row r="707">
      <c r="BV707" s="5"/>
    </row>
    <row r="708">
      <c r="BV708" s="5"/>
    </row>
    <row r="709">
      <c r="BV709" s="5"/>
    </row>
    <row r="710">
      <c r="BV710" s="5"/>
    </row>
    <row r="711">
      <c r="BV711" s="5"/>
    </row>
    <row r="712">
      <c r="BV712" s="5"/>
    </row>
    <row r="713">
      <c r="BV713" s="5"/>
    </row>
    <row r="714">
      <c r="BV714" s="5"/>
    </row>
    <row r="715">
      <c r="BV715" s="5"/>
    </row>
    <row r="716">
      <c r="BV716" s="5"/>
    </row>
    <row r="717">
      <c r="BV717" s="5"/>
    </row>
    <row r="718">
      <c r="BV718" s="5"/>
    </row>
    <row r="719">
      <c r="BV719" s="5"/>
    </row>
    <row r="720">
      <c r="BV720" s="5"/>
    </row>
    <row r="721">
      <c r="BV721" s="5"/>
    </row>
    <row r="722">
      <c r="BV722" s="5"/>
    </row>
    <row r="723">
      <c r="BV723" s="5"/>
    </row>
    <row r="724">
      <c r="BV724" s="5"/>
    </row>
    <row r="725">
      <c r="BV725" s="5"/>
    </row>
    <row r="726">
      <c r="BV726" s="5"/>
    </row>
    <row r="727">
      <c r="BV727" s="5"/>
    </row>
    <row r="728">
      <c r="BV728" s="5"/>
    </row>
    <row r="729">
      <c r="BV729" s="5"/>
    </row>
    <row r="730">
      <c r="BV730" s="5"/>
    </row>
    <row r="731">
      <c r="BV731" s="5"/>
    </row>
    <row r="732">
      <c r="BV732" s="5"/>
    </row>
    <row r="733">
      <c r="BV733" s="5"/>
    </row>
    <row r="734">
      <c r="BV734" s="5"/>
    </row>
    <row r="735">
      <c r="BV735" s="5"/>
    </row>
    <row r="736">
      <c r="BV736" s="5"/>
    </row>
    <row r="737">
      <c r="BV737" s="5"/>
    </row>
    <row r="738">
      <c r="BV738" s="5"/>
    </row>
    <row r="739">
      <c r="BV739" s="5"/>
    </row>
    <row r="740">
      <c r="BV740" s="5"/>
    </row>
    <row r="741">
      <c r="BV741" s="5"/>
    </row>
    <row r="742">
      <c r="BV742" s="5"/>
    </row>
    <row r="743">
      <c r="BV743" s="5"/>
    </row>
    <row r="744">
      <c r="BV744" s="5"/>
    </row>
    <row r="745">
      <c r="BV745" s="5"/>
    </row>
    <row r="746">
      <c r="BV746" s="5"/>
    </row>
    <row r="747">
      <c r="BV747" s="5"/>
    </row>
    <row r="748">
      <c r="BV748" s="5"/>
    </row>
    <row r="749">
      <c r="BV749" s="5"/>
    </row>
    <row r="750">
      <c r="BV750" s="5"/>
    </row>
    <row r="751">
      <c r="BV751" s="5"/>
    </row>
    <row r="752">
      <c r="BV752" s="5"/>
    </row>
    <row r="753">
      <c r="BV753" s="5"/>
    </row>
    <row r="754">
      <c r="BV754" s="5"/>
    </row>
    <row r="755">
      <c r="BV755" s="5"/>
    </row>
    <row r="756">
      <c r="BV756" s="5"/>
    </row>
    <row r="757">
      <c r="BV757" s="5"/>
    </row>
    <row r="758">
      <c r="BV758" s="5"/>
    </row>
    <row r="759">
      <c r="BV759" s="5"/>
    </row>
    <row r="760">
      <c r="BV760" s="5"/>
    </row>
    <row r="761">
      <c r="BV761" s="5"/>
    </row>
    <row r="762">
      <c r="BV762" s="5"/>
    </row>
    <row r="763">
      <c r="BV763" s="5"/>
    </row>
    <row r="764">
      <c r="BV764" s="5"/>
    </row>
    <row r="765">
      <c r="BV765" s="5"/>
    </row>
    <row r="766">
      <c r="BV766" s="5"/>
    </row>
    <row r="767">
      <c r="BV767" s="5"/>
    </row>
    <row r="768">
      <c r="BV768" s="5"/>
    </row>
    <row r="769">
      <c r="BV769" s="5"/>
    </row>
    <row r="770">
      <c r="BV770" s="5"/>
    </row>
    <row r="771">
      <c r="BV771" s="5"/>
    </row>
    <row r="772">
      <c r="BV772" s="5"/>
    </row>
    <row r="773">
      <c r="BV773" s="5"/>
    </row>
    <row r="774">
      <c r="BV774" s="5"/>
    </row>
    <row r="775">
      <c r="BV775" s="5"/>
    </row>
    <row r="776">
      <c r="BV776" s="5"/>
    </row>
    <row r="777">
      <c r="BV777" s="5"/>
    </row>
    <row r="778">
      <c r="BV778" s="5"/>
    </row>
    <row r="779">
      <c r="BV779" s="5"/>
    </row>
    <row r="780">
      <c r="BV780" s="5"/>
    </row>
    <row r="781">
      <c r="BV781" s="5"/>
    </row>
    <row r="782">
      <c r="BV782" s="5"/>
    </row>
    <row r="783">
      <c r="BV783" s="5"/>
    </row>
    <row r="784">
      <c r="BV784" s="5"/>
    </row>
    <row r="785">
      <c r="BV785" s="5"/>
    </row>
    <row r="786">
      <c r="BV786" s="5"/>
    </row>
    <row r="787">
      <c r="BV787" s="5"/>
    </row>
    <row r="788">
      <c r="BV788" s="5"/>
    </row>
    <row r="789">
      <c r="BV789" s="5"/>
    </row>
    <row r="790">
      <c r="BV790" s="5"/>
    </row>
    <row r="791">
      <c r="BV791" s="5"/>
    </row>
    <row r="792">
      <c r="BV792" s="5"/>
    </row>
    <row r="793">
      <c r="BV793" s="5"/>
    </row>
    <row r="794">
      <c r="BV794" s="5"/>
    </row>
    <row r="795">
      <c r="BV795" s="5"/>
    </row>
    <row r="796">
      <c r="BV796" s="5"/>
    </row>
    <row r="797">
      <c r="BV797" s="5"/>
    </row>
    <row r="798">
      <c r="BV798" s="5"/>
    </row>
    <row r="799">
      <c r="BV799" s="5"/>
    </row>
    <row r="800">
      <c r="BV800" s="5"/>
    </row>
    <row r="801">
      <c r="BV801" s="5"/>
    </row>
    <row r="802">
      <c r="BV802" s="5"/>
    </row>
    <row r="803">
      <c r="BV803" s="5"/>
    </row>
    <row r="804">
      <c r="BV804" s="5"/>
    </row>
    <row r="805">
      <c r="BV805" s="5"/>
    </row>
    <row r="806">
      <c r="BV806" s="5"/>
    </row>
    <row r="807">
      <c r="BV807" s="5"/>
    </row>
    <row r="808">
      <c r="BV808" s="5"/>
    </row>
    <row r="809">
      <c r="BV809" s="5"/>
    </row>
    <row r="810">
      <c r="BV810" s="5"/>
    </row>
    <row r="811">
      <c r="BV811" s="5"/>
    </row>
    <row r="812">
      <c r="BV812" s="5"/>
    </row>
    <row r="813">
      <c r="BV813" s="5"/>
    </row>
    <row r="814">
      <c r="BV814" s="5"/>
    </row>
    <row r="815">
      <c r="BV815" s="5"/>
    </row>
    <row r="816">
      <c r="BV816" s="5"/>
    </row>
    <row r="817">
      <c r="BV817" s="5"/>
    </row>
    <row r="818">
      <c r="BV818" s="5"/>
    </row>
    <row r="819">
      <c r="BV819" s="5"/>
    </row>
    <row r="820">
      <c r="BV820" s="5"/>
    </row>
    <row r="821">
      <c r="BV821" s="5"/>
    </row>
    <row r="822">
      <c r="BV822" s="5"/>
    </row>
    <row r="823">
      <c r="BV823" s="5"/>
    </row>
    <row r="824">
      <c r="BV824" s="5"/>
    </row>
    <row r="825">
      <c r="BV825" s="5"/>
    </row>
    <row r="826">
      <c r="BV826" s="5"/>
    </row>
    <row r="827">
      <c r="BV827" s="5"/>
    </row>
    <row r="828">
      <c r="BV828" s="5"/>
    </row>
    <row r="829">
      <c r="BV829" s="5"/>
    </row>
    <row r="830">
      <c r="BV830" s="5"/>
    </row>
    <row r="831">
      <c r="BV831" s="5"/>
    </row>
    <row r="832">
      <c r="BV832" s="5"/>
    </row>
    <row r="833">
      <c r="BV833" s="5"/>
    </row>
    <row r="834">
      <c r="BV834" s="5"/>
    </row>
    <row r="835">
      <c r="BV835" s="5"/>
    </row>
    <row r="836">
      <c r="BV836" s="5"/>
    </row>
    <row r="837">
      <c r="BV837" s="5"/>
    </row>
    <row r="838">
      <c r="BV838" s="5"/>
    </row>
    <row r="839">
      <c r="BV839" s="5"/>
    </row>
    <row r="840">
      <c r="BV840" s="5"/>
    </row>
    <row r="841">
      <c r="BV841" s="5"/>
    </row>
    <row r="842">
      <c r="BV842" s="5"/>
    </row>
    <row r="843">
      <c r="BV843" s="5"/>
    </row>
    <row r="844">
      <c r="BV844" s="5"/>
    </row>
    <row r="845">
      <c r="BV845" s="5"/>
    </row>
    <row r="846">
      <c r="BV846" s="5"/>
    </row>
    <row r="847">
      <c r="BV847" s="5"/>
    </row>
    <row r="848">
      <c r="BV848" s="5"/>
    </row>
    <row r="849">
      <c r="BV849" s="5"/>
    </row>
    <row r="850">
      <c r="BV850" s="5"/>
    </row>
    <row r="851">
      <c r="BV851" s="5"/>
    </row>
    <row r="852">
      <c r="BV852" s="5"/>
    </row>
    <row r="853">
      <c r="BV853" s="5"/>
    </row>
    <row r="854">
      <c r="BV854" s="5"/>
    </row>
    <row r="855">
      <c r="BV855" s="5"/>
    </row>
    <row r="856">
      <c r="BV856" s="5"/>
    </row>
    <row r="857">
      <c r="BV857" s="5"/>
    </row>
    <row r="858">
      <c r="BV858" s="5"/>
    </row>
    <row r="859">
      <c r="BV859" s="5"/>
    </row>
    <row r="860">
      <c r="BV860" s="5"/>
    </row>
    <row r="861">
      <c r="BV861" s="5"/>
    </row>
    <row r="862">
      <c r="BV862" s="5"/>
    </row>
    <row r="863">
      <c r="BV863" s="5"/>
    </row>
    <row r="864">
      <c r="BV864" s="5"/>
    </row>
    <row r="865">
      <c r="BV865" s="5"/>
    </row>
    <row r="866">
      <c r="BV866" s="5"/>
    </row>
    <row r="867">
      <c r="BV867" s="5"/>
    </row>
    <row r="868">
      <c r="BV868" s="5"/>
    </row>
    <row r="869">
      <c r="BV869" s="5"/>
    </row>
    <row r="870">
      <c r="BV870" s="5"/>
    </row>
    <row r="871">
      <c r="BV871" s="5"/>
    </row>
    <row r="872">
      <c r="BV872" s="5"/>
    </row>
    <row r="873">
      <c r="BV873" s="5"/>
    </row>
    <row r="874">
      <c r="BV874" s="5"/>
    </row>
    <row r="875">
      <c r="BV875" s="5"/>
    </row>
    <row r="876">
      <c r="BV876" s="5"/>
    </row>
    <row r="877">
      <c r="BV877" s="5"/>
    </row>
    <row r="878">
      <c r="BV878" s="5"/>
    </row>
    <row r="879">
      <c r="BV879" s="5"/>
    </row>
    <row r="880">
      <c r="BV880" s="5"/>
    </row>
    <row r="881">
      <c r="BV881" s="5"/>
    </row>
    <row r="882">
      <c r="BV882" s="5"/>
    </row>
    <row r="883">
      <c r="BV883" s="5"/>
    </row>
    <row r="884">
      <c r="BV884" s="5"/>
    </row>
    <row r="885">
      <c r="BV885" s="5"/>
    </row>
    <row r="886">
      <c r="BV886" s="5"/>
    </row>
    <row r="887">
      <c r="BV887" s="5"/>
    </row>
    <row r="888">
      <c r="BV888" s="5"/>
    </row>
    <row r="889">
      <c r="BV889" s="5"/>
    </row>
    <row r="890">
      <c r="BV890" s="5"/>
    </row>
    <row r="891">
      <c r="BV891" s="5"/>
    </row>
    <row r="892">
      <c r="BV892" s="5"/>
    </row>
    <row r="893">
      <c r="BV893" s="5"/>
    </row>
    <row r="894">
      <c r="BV894" s="5"/>
    </row>
    <row r="895">
      <c r="BV895" s="5"/>
    </row>
    <row r="896">
      <c r="BV896" s="5"/>
    </row>
    <row r="897">
      <c r="BV897" s="5"/>
    </row>
    <row r="898">
      <c r="BV898" s="5"/>
    </row>
    <row r="899">
      <c r="BV899" s="5"/>
    </row>
    <row r="900">
      <c r="BV900" s="5"/>
    </row>
    <row r="901">
      <c r="BV901" s="5"/>
    </row>
    <row r="902">
      <c r="BV902" s="5"/>
    </row>
    <row r="903">
      <c r="BV903" s="5"/>
    </row>
    <row r="904">
      <c r="BV904" s="5"/>
    </row>
    <row r="905">
      <c r="BV905" s="5"/>
    </row>
    <row r="906">
      <c r="BV906" s="5"/>
    </row>
    <row r="907">
      <c r="BV907" s="5"/>
    </row>
    <row r="908">
      <c r="BV908" s="5"/>
    </row>
    <row r="909">
      <c r="BV909" s="5"/>
    </row>
    <row r="910">
      <c r="BV910" s="5"/>
    </row>
    <row r="911">
      <c r="BV911" s="5"/>
    </row>
    <row r="912">
      <c r="BV912" s="5"/>
    </row>
    <row r="913">
      <c r="BV913" s="5"/>
    </row>
    <row r="914">
      <c r="BV914" s="5"/>
    </row>
    <row r="915">
      <c r="BV915" s="5"/>
    </row>
    <row r="916">
      <c r="BV916" s="5"/>
    </row>
    <row r="917">
      <c r="BV917" s="5"/>
    </row>
    <row r="918">
      <c r="BV918" s="5"/>
    </row>
    <row r="919">
      <c r="BV919" s="5"/>
    </row>
    <row r="920">
      <c r="BV920" s="5"/>
    </row>
    <row r="921">
      <c r="BV921" s="5"/>
    </row>
    <row r="922">
      <c r="BV922" s="5"/>
    </row>
    <row r="923">
      <c r="BV923" s="5"/>
    </row>
    <row r="924">
      <c r="BV924" s="5"/>
    </row>
    <row r="925">
      <c r="BV925" s="5"/>
    </row>
    <row r="926">
      <c r="BV926" s="5"/>
    </row>
    <row r="927">
      <c r="BV927" s="5"/>
    </row>
    <row r="928">
      <c r="BV928" s="5"/>
    </row>
    <row r="929">
      <c r="BV929" s="5"/>
    </row>
    <row r="930">
      <c r="BV930" s="5"/>
    </row>
    <row r="931">
      <c r="BV931" s="5"/>
    </row>
    <row r="932">
      <c r="BV932" s="5"/>
    </row>
    <row r="933">
      <c r="BV933" s="5"/>
    </row>
    <row r="934">
      <c r="BV934" s="5"/>
    </row>
    <row r="935">
      <c r="BV935" s="5"/>
    </row>
    <row r="936">
      <c r="BV936" s="5"/>
    </row>
    <row r="937">
      <c r="BV937" s="5"/>
    </row>
    <row r="938">
      <c r="BV938" s="5"/>
    </row>
    <row r="939">
      <c r="BV939" s="5"/>
    </row>
    <row r="940">
      <c r="BV940" s="5"/>
    </row>
    <row r="941">
      <c r="BV941" s="5"/>
    </row>
    <row r="942">
      <c r="BV942" s="5"/>
    </row>
    <row r="943">
      <c r="BV943" s="5"/>
    </row>
    <row r="944">
      <c r="BV944" s="5"/>
    </row>
    <row r="945">
      <c r="BV945" s="5"/>
    </row>
    <row r="946">
      <c r="BV946" s="5"/>
    </row>
    <row r="947">
      <c r="BV947" s="5"/>
    </row>
    <row r="948">
      <c r="BV948" s="5"/>
    </row>
    <row r="949">
      <c r="BV949" s="5"/>
    </row>
    <row r="950">
      <c r="BV950" s="5"/>
    </row>
    <row r="951">
      <c r="BV951" s="5"/>
    </row>
    <row r="952">
      <c r="BV952" s="5"/>
    </row>
    <row r="953">
      <c r="BV953" s="5"/>
    </row>
    <row r="954">
      <c r="BV954" s="5"/>
    </row>
    <row r="955">
      <c r="BV955" s="5"/>
    </row>
    <row r="956">
      <c r="BV956" s="5"/>
    </row>
    <row r="957">
      <c r="BV957" s="5"/>
    </row>
    <row r="958">
      <c r="BV958" s="5"/>
    </row>
    <row r="959">
      <c r="BV959" s="5"/>
    </row>
    <row r="960">
      <c r="BV960" s="5"/>
    </row>
    <row r="961">
      <c r="BV961" s="5"/>
    </row>
    <row r="962">
      <c r="BV962" s="5"/>
    </row>
    <row r="963">
      <c r="BV963" s="5"/>
    </row>
    <row r="964">
      <c r="BV964" s="5"/>
    </row>
    <row r="965">
      <c r="BV965" s="5"/>
    </row>
    <row r="966">
      <c r="BV966" s="5"/>
    </row>
    <row r="967">
      <c r="BV967" s="5"/>
    </row>
    <row r="968">
      <c r="BV968" s="5"/>
    </row>
    <row r="969">
      <c r="BV969" s="5"/>
    </row>
    <row r="970">
      <c r="BV970" s="5"/>
    </row>
    <row r="971">
      <c r="BV971" s="5"/>
    </row>
    <row r="972">
      <c r="BV972" s="5"/>
    </row>
    <row r="973">
      <c r="BV973" s="5"/>
    </row>
    <row r="974">
      <c r="BV974" s="5"/>
    </row>
    <row r="975">
      <c r="BV975" s="5"/>
    </row>
    <row r="976">
      <c r="BV976" s="5"/>
    </row>
    <row r="977">
      <c r="BV977" s="5"/>
    </row>
    <row r="978">
      <c r="BV978" s="5"/>
    </row>
    <row r="979">
      <c r="BV979" s="5"/>
    </row>
    <row r="980">
      <c r="BV980" s="5"/>
    </row>
    <row r="981">
      <c r="BV981" s="5"/>
    </row>
    <row r="982">
      <c r="BV982" s="5"/>
    </row>
    <row r="983">
      <c r="BV983" s="5"/>
    </row>
    <row r="984">
      <c r="BV984" s="5"/>
    </row>
    <row r="985">
      <c r="BV985" s="5"/>
    </row>
    <row r="986">
      <c r="BV986" s="5"/>
    </row>
    <row r="987">
      <c r="BV987" s="5"/>
    </row>
    <row r="988">
      <c r="BV988" s="5"/>
    </row>
    <row r="989">
      <c r="BV989" s="5"/>
    </row>
    <row r="990">
      <c r="BV990" s="5"/>
    </row>
    <row r="991">
      <c r="BV991" s="5"/>
    </row>
    <row r="992">
      <c r="BV992" s="5"/>
    </row>
    <row r="993">
      <c r="BV993" s="5"/>
    </row>
    <row r="994">
      <c r="BV994" s="5"/>
    </row>
    <row r="995">
      <c r="BV995" s="5"/>
    </row>
    <row r="996">
      <c r="BV996" s="5"/>
    </row>
    <row r="997">
      <c r="BV997" s="5"/>
    </row>
    <row r="998">
      <c r="BV998" s="5"/>
    </row>
    <row r="999">
      <c r="BV999" s="5"/>
    </row>
    <row r="1000">
      <c r="BV1000" s="5"/>
    </row>
    <row r="1001">
      <c r="BV1001" s="5"/>
    </row>
    <row r="1002">
      <c r="BV1002" s="5"/>
    </row>
    <row r="1003">
      <c r="BV1003" s="5"/>
    </row>
    <row r="1004">
      <c r="BV1004" s="5"/>
    </row>
    <row r="1005">
      <c r="BV1005" s="5"/>
    </row>
    <row r="1006">
      <c r="BV1006" s="5"/>
    </row>
    <row r="1007">
      <c r="BV1007" s="5"/>
    </row>
    <row r="1008">
      <c r="BV1008" s="5"/>
    </row>
    <row r="1009">
      <c r="BV1009" s="5"/>
    </row>
    <row r="1010">
      <c r="BV1010" s="5"/>
    </row>
  </sheetData>
  <mergeCells count="23">
    <mergeCell ref="K3:K7"/>
    <mergeCell ref="B8:B9"/>
    <mergeCell ref="C8:C9"/>
    <mergeCell ref="D8:D9"/>
    <mergeCell ref="E8:G8"/>
    <mergeCell ref="H8:H9"/>
    <mergeCell ref="I8:I9"/>
    <mergeCell ref="AG8:AK8"/>
    <mergeCell ref="AL8:AP8"/>
    <mergeCell ref="AQ8:AU8"/>
    <mergeCell ref="AV8:AZ8"/>
    <mergeCell ref="BA8:BE8"/>
    <mergeCell ref="BF8:BJ8"/>
    <mergeCell ref="BK8:BO8"/>
    <mergeCell ref="BP8:BT8"/>
    <mergeCell ref="J8:J9"/>
    <mergeCell ref="K8:K9"/>
    <mergeCell ref="L8:L9"/>
    <mergeCell ref="M8:Q8"/>
    <mergeCell ref="R8:V8"/>
    <mergeCell ref="W8:AA8"/>
    <mergeCell ref="AB8:AF8"/>
    <mergeCell ref="B55:BV55"/>
  </mergeCells>
  <printOptions/>
  <pageMargins bottom="0.3" footer="0.0" header="0.0" left="0.3" right="0.3" top="0.3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2016-03-21T16:06:55Z</dcterms:created>
  <dc:creator>ragaz</dc:creator>
</cp:coreProperties>
</file>